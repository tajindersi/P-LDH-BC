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j/Library/CloudStorage/GoogleDrive-tajindersi227@gmail.com/My Drive/Research/TJ - LDH Project/Analysis/"/>
    </mc:Choice>
  </mc:AlternateContent>
  <xr:revisionPtr revIDLastSave="0" documentId="13_ncr:1_{491B9675-2D76-7E43-A350-D47B3FA6F6DA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Weight(g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ZbbUd9G3PkOXaQR+FuqZZ/WKYGtw2KHfIgFNuSNSOw="/>
    </ext>
  </extLst>
</workbook>
</file>

<file path=xl/calcChain.xml><?xml version="1.0" encoding="utf-8"?>
<calcChain xmlns="http://schemas.openxmlformats.org/spreadsheetml/2006/main">
  <c r="BL28" i="1" l="1"/>
  <c r="AR28" i="1"/>
  <c r="BM27" i="1"/>
  <c r="BL27" i="1"/>
  <c r="AR27" i="1"/>
  <c r="BM26" i="1"/>
  <c r="AR26" i="1"/>
  <c r="BM25" i="1"/>
  <c r="AR25" i="1"/>
  <c r="BL24" i="1"/>
  <c r="AR24" i="1"/>
  <c r="BM23" i="1"/>
  <c r="AR23" i="1"/>
  <c r="BM22" i="1"/>
  <c r="BL22" i="1"/>
  <c r="AR22" i="1"/>
  <c r="BM21" i="1"/>
  <c r="BL21" i="1"/>
  <c r="AR21" i="1"/>
  <c r="AR20" i="1"/>
  <c r="AR19" i="1"/>
  <c r="AR18" i="1"/>
  <c r="BM17" i="1"/>
  <c r="BL17" i="1"/>
  <c r="AR17" i="1"/>
  <c r="BM16" i="1"/>
  <c r="BL16" i="1"/>
  <c r="AR16" i="1"/>
  <c r="BL15" i="1"/>
  <c r="AR15" i="1"/>
  <c r="BM14" i="1"/>
  <c r="BL14" i="1"/>
  <c r="AR14" i="1"/>
  <c r="BM13" i="1"/>
  <c r="BL13" i="1"/>
  <c r="AR13" i="1"/>
  <c r="BM12" i="1"/>
  <c r="BL12" i="1"/>
  <c r="AR12" i="1"/>
  <c r="BL11" i="1"/>
  <c r="AR11" i="1"/>
  <c r="BM10" i="1"/>
  <c r="AR10" i="1"/>
  <c r="BL9" i="1"/>
  <c r="AR9" i="1"/>
  <c r="BM8" i="1"/>
  <c r="BL8" i="1"/>
  <c r="AR8" i="1"/>
  <c r="BM7" i="1"/>
  <c r="BL7" i="1"/>
  <c r="AR7" i="1"/>
  <c r="AR6" i="1"/>
  <c r="BM5" i="1"/>
  <c r="BL5" i="1"/>
  <c r="AR5" i="1"/>
  <c r="BM4" i="1"/>
  <c r="BL4" i="1"/>
  <c r="AR4" i="1"/>
  <c r="AR3" i="1"/>
  <c r="BL2" i="1"/>
  <c r="AR2" i="1"/>
</calcChain>
</file>

<file path=xl/sharedStrings.xml><?xml version="1.0" encoding="utf-8"?>
<sst xmlns="http://schemas.openxmlformats.org/spreadsheetml/2006/main" count="333" uniqueCount="73">
  <si>
    <t>TRT</t>
  </si>
  <si>
    <t>ID</t>
  </si>
  <si>
    <t>RT</t>
  </si>
  <si>
    <t>REP</t>
  </si>
  <si>
    <t>PDWG</t>
  </si>
  <si>
    <t>BDWG</t>
  </si>
  <si>
    <t>BFWG</t>
  </si>
  <si>
    <t>PNP</t>
  </si>
  <si>
    <t>PNMG</t>
  </si>
  <si>
    <t>PNCA</t>
  </si>
  <si>
    <t>PNK</t>
  </si>
  <si>
    <t>BNP</t>
  </si>
  <si>
    <t>BNMG</t>
  </si>
  <si>
    <t>BNCA</t>
  </si>
  <si>
    <t>BNK</t>
  </si>
  <si>
    <t>PNZN</t>
  </si>
  <si>
    <t>PNFE</t>
  </si>
  <si>
    <t>PNB</t>
  </si>
  <si>
    <t>PNMN</t>
  </si>
  <si>
    <t>PNCU</t>
  </si>
  <si>
    <t>BNZN</t>
  </si>
  <si>
    <t>BNFE</t>
  </si>
  <si>
    <t>BNB</t>
  </si>
  <si>
    <t>BNMN</t>
  </si>
  <si>
    <t>BNCU</t>
  </si>
  <si>
    <t>PH2</t>
  </si>
  <si>
    <t>PH3</t>
  </si>
  <si>
    <t>PH4</t>
  </si>
  <si>
    <t>PH5</t>
  </si>
  <si>
    <t>PH6</t>
  </si>
  <si>
    <t>PC2</t>
  </si>
  <si>
    <t>PC3</t>
  </si>
  <si>
    <t>PC4</t>
  </si>
  <si>
    <t>PC5</t>
  </si>
  <si>
    <t>PC6</t>
  </si>
  <si>
    <t>SRP</t>
  </si>
  <si>
    <t>SRK</t>
  </si>
  <si>
    <t>SRCa</t>
  </si>
  <si>
    <t>SRMg</t>
  </si>
  <si>
    <t>SRZn</t>
  </si>
  <si>
    <t>SRNa</t>
  </si>
  <si>
    <t>SRCEC</t>
  </si>
  <si>
    <t>SRpH</t>
  </si>
  <si>
    <t>PMgMn</t>
  </si>
  <si>
    <t>PNP_total</t>
  </si>
  <si>
    <t>PNMG_total</t>
  </si>
  <si>
    <t>PNCA_total</t>
  </si>
  <si>
    <t>PNK_total</t>
  </si>
  <si>
    <t>BNP_total</t>
  </si>
  <si>
    <t>BNMG_total</t>
  </si>
  <si>
    <t>BNCA_total</t>
  </si>
  <si>
    <t>BNK_total</t>
  </si>
  <si>
    <t>PNZN_total</t>
  </si>
  <si>
    <t>PNFE_total</t>
  </si>
  <si>
    <t>PNB_total</t>
  </si>
  <si>
    <t>PNMN_total</t>
  </si>
  <si>
    <t>PNCU_total</t>
  </si>
  <si>
    <t>BNZN_total</t>
  </si>
  <si>
    <t>BNFE_total</t>
  </si>
  <si>
    <t>BNB_total</t>
  </si>
  <si>
    <t>BNMN_total</t>
  </si>
  <si>
    <t>BNCU_total</t>
  </si>
  <si>
    <t>P_efficiency</t>
  </si>
  <si>
    <t>PNK:MG</t>
  </si>
  <si>
    <t>BNK:MG</t>
  </si>
  <si>
    <t>MG_total</t>
  </si>
  <si>
    <t>C</t>
  </si>
  <si>
    <t>0x</t>
  </si>
  <si>
    <t>na</t>
  </si>
  <si>
    <t>1x</t>
  </si>
  <si>
    <t>2x</t>
  </si>
  <si>
    <t>BC</t>
  </si>
  <si>
    <t>LBC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</si>
</sst>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9E1F2"/>
        <bgColor rgb="FFD9E1F2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8EAADB"/>
      </bottom>
      <diagonal/>
    </border>
    <border>
      <left style="medium">
        <color rgb="FF000000"/>
      </left>
      <right style="thin">
        <color rgb="FF8EAADB"/>
      </right>
      <top/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medium">
        <color rgb="FF000000"/>
      </left>
      <right/>
      <top style="thin">
        <color rgb="FF8EAADB"/>
      </top>
      <bottom style="thin">
        <color rgb="FF8EAADB"/>
      </bottom>
      <diagonal/>
    </border>
    <border>
      <left style="medium">
        <color rgb="FF000000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medium">
        <color rgb="FF000000"/>
      </left>
      <right/>
      <top style="medium">
        <color rgb="FF000000"/>
      </top>
      <bottom style="thin">
        <color rgb="FF8EAADB"/>
      </bottom>
      <diagonal/>
    </border>
    <border>
      <left style="medium">
        <color rgb="FF000000"/>
      </left>
      <right style="thin">
        <color rgb="FF8EAADB"/>
      </right>
      <top style="medium">
        <color rgb="FF000000"/>
      </top>
      <bottom style="thin">
        <color rgb="FF8EAA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medium">
        <color rgb="FF000000"/>
      </left>
      <right/>
      <top/>
      <bottom style="thin">
        <color rgb="FF8EAADB"/>
      </bottom>
      <diagonal/>
    </border>
    <border>
      <left style="medium">
        <color rgb="FF000000"/>
      </left>
      <right/>
      <top style="thin">
        <color rgb="FF8EAADB"/>
      </top>
      <bottom style="medium">
        <color rgb="FF000000"/>
      </bottom>
      <diagonal/>
    </border>
    <border>
      <left style="medium">
        <color rgb="FF000000"/>
      </left>
      <right/>
      <top style="thin">
        <color rgb="FF8EAADB"/>
      </top>
      <bottom/>
      <diagonal/>
    </border>
    <border>
      <left style="medium">
        <color rgb="FF000000"/>
      </left>
      <right style="thin">
        <color rgb="FF8EAADB"/>
      </right>
      <top style="thin">
        <color rgb="FF8EAADB"/>
      </top>
      <bottom style="medium">
        <color rgb="FF000000"/>
      </bottom>
      <diagonal/>
    </border>
    <border>
      <left/>
      <right style="thin">
        <color rgb="FF8EAADB"/>
      </right>
      <top style="thin">
        <color rgb="FF8EAADB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2" fontId="1" fillId="0" borderId="2" xfId="0" applyNumberFormat="1" applyFont="1" applyBorder="1"/>
    <xf numFmtId="0" fontId="1" fillId="0" borderId="0" xfId="0" applyFont="1"/>
    <xf numFmtId="0" fontId="2" fillId="2" borderId="3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/>
    <xf numFmtId="0" fontId="2" fillId="2" borderId="5" xfId="0" applyFont="1" applyFill="1" applyBorder="1"/>
    <xf numFmtId="2" fontId="2" fillId="2" borderId="3" xfId="0" applyNumberFormat="1" applyFont="1" applyFill="1" applyBorder="1"/>
    <xf numFmtId="2" fontId="2" fillId="2" borderId="3" xfId="0" applyNumberFormat="1" applyFont="1" applyFill="1" applyBorder="1" applyAlignment="1">
      <alignment horizontal="right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0" xfId="0" applyFont="1" applyFill="1"/>
    <xf numFmtId="0" fontId="2" fillId="0" borderId="12" xfId="0" applyFont="1" applyBorder="1"/>
    <xf numFmtId="0" fontId="2" fillId="0" borderId="12" xfId="0" applyFont="1" applyBorder="1" applyAlignment="1">
      <alignment horizontal="right"/>
    </xf>
    <xf numFmtId="0" fontId="2" fillId="0" borderId="7" xfId="0" applyFont="1" applyBorder="1"/>
    <xf numFmtId="0" fontId="2" fillId="0" borderId="13" xfId="0" applyFont="1" applyBorder="1"/>
    <xf numFmtId="0" fontId="3" fillId="0" borderId="14" xfId="0" applyFont="1" applyBorder="1"/>
    <xf numFmtId="2" fontId="2" fillId="0" borderId="12" xfId="0" applyNumberFormat="1" applyFont="1" applyBorder="1"/>
    <xf numFmtId="2" fontId="2" fillId="0" borderId="12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3" borderId="15" xfId="0" applyFont="1" applyFill="1" applyBorder="1"/>
    <xf numFmtId="2" fontId="2" fillId="2" borderId="6" xfId="0" applyNumberFormat="1" applyFont="1" applyFill="1" applyBorder="1"/>
    <xf numFmtId="2" fontId="2" fillId="2" borderId="6" xfId="0" applyNumberFormat="1" applyFont="1" applyFill="1" applyBorder="1" applyAlignment="1">
      <alignment horizontal="right"/>
    </xf>
    <xf numFmtId="164" fontId="3" fillId="3" borderId="11" xfId="0" applyNumberFormat="1" applyFont="1" applyFill="1" applyBorder="1"/>
    <xf numFmtId="0" fontId="2" fillId="0" borderId="16" xfId="0" applyFont="1" applyBorder="1"/>
    <xf numFmtId="2" fontId="2" fillId="0" borderId="16" xfId="0" applyNumberFormat="1" applyFont="1" applyBorder="1"/>
    <xf numFmtId="2" fontId="2" fillId="0" borderId="16" xfId="0" applyNumberFormat="1" applyFont="1" applyBorder="1" applyAlignment="1">
      <alignment horizontal="right"/>
    </xf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3" fillId="3" borderId="21" xfId="0" applyFont="1" applyFill="1" applyBorder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2" fillId="2" borderId="22" xfId="0" applyFont="1" applyFill="1" applyBorder="1"/>
    <xf numFmtId="0" fontId="2" fillId="2" borderId="22" xfId="0" applyFont="1" applyFill="1" applyBorder="1" applyAlignment="1">
      <alignment horizontal="right"/>
    </xf>
    <xf numFmtId="0" fontId="2" fillId="0" borderId="23" xfId="0" applyFont="1" applyBorder="1"/>
    <xf numFmtId="0" fontId="2" fillId="0" borderId="23" xfId="0" applyFont="1" applyBorder="1" applyAlignment="1">
      <alignment horizontal="right"/>
    </xf>
    <xf numFmtId="0" fontId="2" fillId="2" borderId="24" xfId="0" applyFont="1" applyFill="1" applyBorder="1"/>
    <xf numFmtId="0" fontId="2" fillId="2" borderId="24" xfId="0" applyFont="1" applyFill="1" applyBorder="1" applyAlignment="1">
      <alignment horizontal="right"/>
    </xf>
    <xf numFmtId="0" fontId="2" fillId="2" borderId="25" xfId="0" applyFont="1" applyFill="1" applyBorder="1"/>
    <xf numFmtId="0" fontId="2" fillId="2" borderId="2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00"/>
  <sheetViews>
    <sheetView tabSelected="1" topLeftCell="T1" zoomScale="141" workbookViewId="0">
      <selection activeCell="BA27" sqref="BA27"/>
    </sheetView>
  </sheetViews>
  <sheetFormatPr baseColWidth="10" defaultColWidth="11.1640625" defaultRowHeight="15" customHeight="1" x14ac:dyDescent="0.2"/>
  <cols>
    <col min="1" max="4" width="16.1640625" customWidth="1"/>
    <col min="5" max="5" width="13.1640625" customWidth="1"/>
    <col min="6" max="6" width="11" customWidth="1"/>
    <col min="7" max="7" width="6.5" customWidth="1"/>
    <col min="8" max="8" width="10.1640625" customWidth="1"/>
    <col min="9" max="9" width="13.33203125" customWidth="1"/>
    <col min="10" max="10" width="13.1640625" customWidth="1"/>
    <col min="11" max="11" width="11.83203125" customWidth="1"/>
    <col min="12" max="12" width="13.33203125" customWidth="1"/>
    <col min="13" max="13" width="12.1640625" customWidth="1"/>
    <col min="14" max="14" width="13.33203125" customWidth="1"/>
    <col min="15" max="15" width="13.1640625" customWidth="1"/>
    <col min="16" max="66" width="11" customWidth="1"/>
    <col min="68" max="68" width="11" customWidth="1"/>
  </cols>
  <sheetData>
    <row r="1" spans="1:66" ht="15.75" customHeight="1" thickBo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5" t="s">
        <v>63</v>
      </c>
      <c r="BM1" s="5" t="s">
        <v>64</v>
      </c>
      <c r="BN1" s="5" t="s">
        <v>65</v>
      </c>
    </row>
    <row r="2" spans="1:66" ht="15.75" customHeight="1" x14ac:dyDescent="0.2">
      <c r="A2" s="6">
        <v>1</v>
      </c>
      <c r="B2" s="6" t="s">
        <v>66</v>
      </c>
      <c r="C2" s="7" t="s">
        <v>67</v>
      </c>
      <c r="D2" s="6">
        <v>1</v>
      </c>
      <c r="E2" s="8" t="s">
        <v>68</v>
      </c>
      <c r="F2" s="9" t="s">
        <v>68</v>
      </c>
      <c r="G2" s="9" t="s">
        <v>68</v>
      </c>
      <c r="H2" s="10">
        <v>1391.1523095723446</v>
      </c>
      <c r="I2" s="10">
        <v>2750.0382951966617</v>
      </c>
      <c r="J2" s="10">
        <v>33756.904418081234</v>
      </c>
      <c r="K2" s="10">
        <v>13580.309476762242</v>
      </c>
      <c r="L2" s="11">
        <v>2383.7368109195386</v>
      </c>
      <c r="M2" s="11">
        <v>2160.1760383273413</v>
      </c>
      <c r="N2" s="11">
        <v>8470.3884057714549</v>
      </c>
      <c r="O2" s="11" t="s">
        <v>68</v>
      </c>
      <c r="P2" s="10" t="s">
        <v>68</v>
      </c>
      <c r="Q2" s="10">
        <v>117.63919126787989</v>
      </c>
      <c r="R2" s="10">
        <v>24.964035021416439</v>
      </c>
      <c r="S2" s="10">
        <v>24.453610343868014</v>
      </c>
      <c r="T2" s="10">
        <v>18.828451544801919</v>
      </c>
      <c r="U2" s="11">
        <v>41.433904266316155</v>
      </c>
      <c r="V2" s="11">
        <v>66.30420872958625</v>
      </c>
      <c r="W2" s="11">
        <v>19.843896459722757</v>
      </c>
      <c r="X2" s="11">
        <v>19.667821325839164</v>
      </c>
      <c r="Y2" s="11">
        <v>15.275463300461787</v>
      </c>
      <c r="Z2" s="12">
        <v>11</v>
      </c>
      <c r="AA2" s="12" t="s">
        <v>68</v>
      </c>
      <c r="AB2" s="12">
        <v>16</v>
      </c>
      <c r="AC2" s="12">
        <v>24.5</v>
      </c>
      <c r="AD2" s="13">
        <v>29.5</v>
      </c>
      <c r="AE2" s="12">
        <v>45.9</v>
      </c>
      <c r="AF2" s="12">
        <v>44.4</v>
      </c>
      <c r="AG2" s="12">
        <v>44.9</v>
      </c>
      <c r="AH2" s="14">
        <v>43.9</v>
      </c>
      <c r="AI2" s="15">
        <v>41.8</v>
      </c>
      <c r="AJ2" s="16">
        <v>47.23</v>
      </c>
      <c r="AK2" s="16">
        <v>68.12</v>
      </c>
      <c r="AL2" s="16">
        <v>1212.23</v>
      </c>
      <c r="AM2" s="16">
        <v>36.130000000000003</v>
      </c>
      <c r="AN2" s="16">
        <v>1.27</v>
      </c>
      <c r="AO2" s="16">
        <v>48.11</v>
      </c>
      <c r="AP2" s="16">
        <v>3.2684500000000001</v>
      </c>
      <c r="AQ2" s="16" t="s">
        <v>68</v>
      </c>
      <c r="AR2" s="16">
        <f t="shared" ref="AR2:AR28" si="0">I2/S2</f>
        <v>112.45939787726523</v>
      </c>
      <c r="AS2" s="17">
        <v>7.0949999999999998</v>
      </c>
      <c r="AT2" s="17" t="s">
        <v>68</v>
      </c>
      <c r="AU2" s="17">
        <v>172.16</v>
      </c>
      <c r="AV2" s="17">
        <v>69.260000000000005</v>
      </c>
      <c r="AW2" s="17" t="s">
        <v>68</v>
      </c>
      <c r="AX2" s="17" t="s">
        <v>68</v>
      </c>
      <c r="AY2" s="17" t="s">
        <v>68</v>
      </c>
      <c r="AZ2" s="17" t="s">
        <v>68</v>
      </c>
      <c r="BA2" s="32">
        <v>88.509074249886254</v>
      </c>
      <c r="BB2" s="17">
        <v>599.96</v>
      </c>
      <c r="BC2" s="17">
        <v>127.31699999999999</v>
      </c>
      <c r="BD2" s="17">
        <v>124.71299999999999</v>
      </c>
      <c r="BE2" s="17">
        <v>96.025000000000006</v>
      </c>
      <c r="BF2" s="32" t="s">
        <v>68</v>
      </c>
      <c r="BG2" s="32" t="s">
        <v>68</v>
      </c>
      <c r="BH2" s="32" t="s">
        <v>68</v>
      </c>
      <c r="BI2" s="32" t="s">
        <v>68</v>
      </c>
      <c r="BJ2" s="32" t="s">
        <v>68</v>
      </c>
      <c r="BK2" s="17" t="s">
        <v>68</v>
      </c>
      <c r="BL2" s="18">
        <f>K2/I2</f>
        <v>4.938225587797163</v>
      </c>
      <c r="BM2" s="18" t="s">
        <v>68</v>
      </c>
      <c r="BN2" s="17" t="s">
        <v>68</v>
      </c>
    </row>
    <row r="3" spans="1:66" ht="15.75" customHeight="1" x14ac:dyDescent="0.2">
      <c r="A3" s="19">
        <v>1</v>
      </c>
      <c r="B3" s="19" t="s">
        <v>66</v>
      </c>
      <c r="C3" s="20" t="s">
        <v>67</v>
      </c>
      <c r="D3" s="19">
        <v>2</v>
      </c>
      <c r="E3" s="21">
        <v>3.38</v>
      </c>
      <c r="F3" s="22">
        <v>0.87</v>
      </c>
      <c r="G3" s="23">
        <v>9.6999999999999993</v>
      </c>
      <c r="H3" s="24" t="s">
        <v>68</v>
      </c>
      <c r="I3" s="24">
        <v>2807.8132841767119</v>
      </c>
      <c r="J3" s="24" t="s">
        <v>68</v>
      </c>
      <c r="K3" s="24" t="s">
        <v>68</v>
      </c>
      <c r="L3" s="25" t="s">
        <v>68</v>
      </c>
      <c r="M3" s="25" t="s">
        <v>68</v>
      </c>
      <c r="N3" s="25" t="s">
        <v>68</v>
      </c>
      <c r="O3" s="25">
        <v>20800.655311423012</v>
      </c>
      <c r="P3" s="24">
        <v>31.154520732149535</v>
      </c>
      <c r="Q3" s="24" t="s">
        <v>68</v>
      </c>
      <c r="R3" s="24">
        <v>30.804376650376447</v>
      </c>
      <c r="S3" s="24">
        <v>39.107258394467458</v>
      </c>
      <c r="T3" s="24">
        <v>21.427945300953276</v>
      </c>
      <c r="U3" s="25" t="s">
        <v>68</v>
      </c>
      <c r="V3" s="25">
        <v>69.274572301192009</v>
      </c>
      <c r="W3" s="25">
        <v>25.24655106079425</v>
      </c>
      <c r="X3" s="25">
        <v>19.106973377560013</v>
      </c>
      <c r="Y3" s="25">
        <v>16.101552562970209</v>
      </c>
      <c r="Z3" s="19">
        <v>11.5</v>
      </c>
      <c r="AA3" s="19">
        <v>13.5</v>
      </c>
      <c r="AB3" s="19">
        <v>15.5</v>
      </c>
      <c r="AC3" s="19">
        <v>25</v>
      </c>
      <c r="AD3" s="21">
        <v>28</v>
      </c>
      <c r="AE3" s="19">
        <v>44</v>
      </c>
      <c r="AF3" s="19">
        <v>42.7</v>
      </c>
      <c r="AG3" s="19">
        <v>43.9</v>
      </c>
      <c r="AH3" s="19">
        <v>42.8</v>
      </c>
      <c r="AI3" s="21">
        <v>43.6</v>
      </c>
      <c r="AJ3" s="23">
        <v>44.67</v>
      </c>
      <c r="AK3" s="23">
        <v>75.77</v>
      </c>
      <c r="AL3" s="23">
        <v>1171.57</v>
      </c>
      <c r="AM3" s="23">
        <v>42.89</v>
      </c>
      <c r="AN3" s="23">
        <v>1.22</v>
      </c>
      <c r="AO3" s="23">
        <v>50.33</v>
      </c>
      <c r="AP3" s="23">
        <v>3.2047743589744</v>
      </c>
      <c r="AQ3" s="23">
        <v>7.1</v>
      </c>
      <c r="AR3" s="23">
        <f t="shared" si="0"/>
        <v>71.797753139707083</v>
      </c>
      <c r="AS3" s="26">
        <v>5.51</v>
      </c>
      <c r="AT3" s="26">
        <v>9.49</v>
      </c>
      <c r="AU3" s="26" t="s">
        <v>68</v>
      </c>
      <c r="AV3" s="26">
        <v>72.019000000000005</v>
      </c>
      <c r="AW3" s="26">
        <v>2.996</v>
      </c>
      <c r="AX3" s="26">
        <v>2.2650000000000001</v>
      </c>
      <c r="AY3" s="26">
        <v>9.1010000000000009</v>
      </c>
      <c r="AZ3" s="26">
        <v>18.097000000000001</v>
      </c>
      <c r="BA3" s="28">
        <v>105.30228007466543</v>
      </c>
      <c r="BB3" s="26">
        <v>516.36599999999999</v>
      </c>
      <c r="BC3" s="26">
        <v>104.119</v>
      </c>
      <c r="BD3" s="26">
        <v>132.18299999999999</v>
      </c>
      <c r="BE3" s="26">
        <v>72.426000000000002</v>
      </c>
      <c r="BF3" s="28">
        <v>26.057003722414731</v>
      </c>
      <c r="BG3" s="28">
        <v>60.268877902037048</v>
      </c>
      <c r="BH3" s="28">
        <v>21.964499422890999</v>
      </c>
      <c r="BI3" s="28">
        <v>16.623066838477211</v>
      </c>
      <c r="BJ3" s="28">
        <v>14.008350729784082</v>
      </c>
      <c r="BK3" s="27">
        <v>4.4534226609999998E-2</v>
      </c>
      <c r="BL3" s="18" t="s">
        <v>68</v>
      </c>
      <c r="BM3" s="18" t="s">
        <v>68</v>
      </c>
      <c r="BN3" s="28">
        <v>11.755877577182067</v>
      </c>
    </row>
    <row r="4" spans="1:66" ht="15.75" customHeight="1" x14ac:dyDescent="0.2">
      <c r="A4" s="12">
        <v>1</v>
      </c>
      <c r="B4" s="12" t="s">
        <v>66</v>
      </c>
      <c r="C4" s="7" t="s">
        <v>67</v>
      </c>
      <c r="D4" s="12">
        <v>3</v>
      </c>
      <c r="E4" s="13">
        <v>3.35</v>
      </c>
      <c r="F4" s="9">
        <v>0.99</v>
      </c>
      <c r="G4" s="29">
        <v>10.7</v>
      </c>
      <c r="H4" s="30">
        <v>1318.8960031873719</v>
      </c>
      <c r="I4" s="30">
        <v>2426.9654927600113</v>
      </c>
      <c r="J4" s="30">
        <v>27210.513161649073</v>
      </c>
      <c r="K4" s="30">
        <v>16259.64307074028</v>
      </c>
      <c r="L4" s="31">
        <v>2999.3304665765677</v>
      </c>
      <c r="M4" s="31">
        <v>2423.3685417586476</v>
      </c>
      <c r="N4" s="31">
        <v>8936.8410328496739</v>
      </c>
      <c r="O4" s="31">
        <v>22759.075591577857</v>
      </c>
      <c r="P4" s="30">
        <v>28.159692616146955</v>
      </c>
      <c r="Q4" s="30">
        <v>115.21897757796535</v>
      </c>
      <c r="R4" s="30">
        <v>34.172352534611122</v>
      </c>
      <c r="S4" s="30">
        <v>30.727631834728346</v>
      </c>
      <c r="T4" s="30">
        <v>22.523258952060658</v>
      </c>
      <c r="U4" s="31">
        <v>43.356238058734426</v>
      </c>
      <c r="V4" s="31">
        <v>61.697132223718057</v>
      </c>
      <c r="W4" s="31">
        <v>23.306291345556687</v>
      </c>
      <c r="X4" s="31">
        <v>18.870817801431226</v>
      </c>
      <c r="Y4" s="31">
        <v>18.009169214300147</v>
      </c>
      <c r="Z4" s="12">
        <v>8.5</v>
      </c>
      <c r="AA4" s="12">
        <v>14</v>
      </c>
      <c r="AB4" s="12">
        <v>14</v>
      </c>
      <c r="AC4" s="12">
        <v>17</v>
      </c>
      <c r="AD4" s="13">
        <v>23</v>
      </c>
      <c r="AE4" s="12" t="s">
        <v>68</v>
      </c>
      <c r="AF4" s="12">
        <v>43.5</v>
      </c>
      <c r="AG4" s="12">
        <v>43.4</v>
      </c>
      <c r="AH4" s="12">
        <v>39.200000000000003</v>
      </c>
      <c r="AI4" s="13">
        <v>39.4</v>
      </c>
      <c r="AJ4" s="16">
        <v>47.82</v>
      </c>
      <c r="AK4" s="16">
        <v>57.64</v>
      </c>
      <c r="AL4" s="16">
        <v>1281.8399999999999</v>
      </c>
      <c r="AM4" s="16">
        <v>34.619999999999997</v>
      </c>
      <c r="AN4" s="16">
        <v>2.35</v>
      </c>
      <c r="AO4" s="16">
        <v>66.95</v>
      </c>
      <c r="AP4" s="16">
        <v>3.4227474358974002</v>
      </c>
      <c r="AQ4" s="16">
        <v>7</v>
      </c>
      <c r="AR4" s="16">
        <f t="shared" si="0"/>
        <v>78.983161013308447</v>
      </c>
      <c r="AS4" s="17">
        <v>4.4180000000000001</v>
      </c>
      <c r="AT4" s="17">
        <v>8.1300000000000008</v>
      </c>
      <c r="AU4" s="17">
        <v>91.155000000000001</v>
      </c>
      <c r="AV4" s="17" t="s">
        <v>68</v>
      </c>
      <c r="AW4" s="17">
        <v>2.9689999999999999</v>
      </c>
      <c r="AX4" s="17">
        <v>2.399</v>
      </c>
      <c r="AY4" s="17">
        <v>8.8469999999999995</v>
      </c>
      <c r="AZ4" s="17">
        <v>22.530999999999999</v>
      </c>
      <c r="BA4" s="32">
        <v>94.334970264092306</v>
      </c>
      <c r="BB4" s="17">
        <v>385.98399999999998</v>
      </c>
      <c r="BC4" s="17">
        <v>114.477</v>
      </c>
      <c r="BD4" s="17">
        <v>102.938</v>
      </c>
      <c r="BE4" s="17">
        <v>75.453000000000003</v>
      </c>
      <c r="BF4" s="32">
        <v>42.92267567814708</v>
      </c>
      <c r="BG4" s="32">
        <v>61.080160901480873</v>
      </c>
      <c r="BH4" s="32">
        <v>23.073228432101121</v>
      </c>
      <c r="BI4" s="32">
        <v>18.682109623416913</v>
      </c>
      <c r="BJ4" s="32">
        <v>17.829077522157146</v>
      </c>
      <c r="BK4" s="26">
        <v>3.867873703E-2</v>
      </c>
      <c r="BL4" s="18">
        <f t="shared" ref="BL4:BL5" si="1">K4/I4</f>
        <v>6.6995773608010269</v>
      </c>
      <c r="BM4" s="18">
        <f t="shared" ref="BM4:BM5" si="2">O4/M4</f>
        <v>9.3915040982835869</v>
      </c>
      <c r="BN4" s="32">
        <v>10.529469257087101</v>
      </c>
    </row>
    <row r="5" spans="1:66" ht="15.75" customHeight="1" x14ac:dyDescent="0.2">
      <c r="A5" s="19">
        <v>2</v>
      </c>
      <c r="B5" s="33" t="s">
        <v>66</v>
      </c>
      <c r="C5" s="20" t="s">
        <v>69</v>
      </c>
      <c r="D5" s="6">
        <v>1</v>
      </c>
      <c r="E5" s="21">
        <v>4.8899999999999997</v>
      </c>
      <c r="F5" s="22">
        <v>1.67</v>
      </c>
      <c r="G5" s="23">
        <v>18.600000000000001</v>
      </c>
      <c r="H5" s="34">
        <v>1547.3944090565465</v>
      </c>
      <c r="I5" s="34">
        <v>2843.2762237045699</v>
      </c>
      <c r="J5" s="34">
        <v>38384.796287386831</v>
      </c>
      <c r="K5" s="34">
        <v>14494.201900380658</v>
      </c>
      <c r="L5" s="35">
        <v>2729.7238743969237</v>
      </c>
      <c r="M5" s="35">
        <v>2317.2847838935281</v>
      </c>
      <c r="N5" s="35">
        <v>10454.707651972516</v>
      </c>
      <c r="O5" s="35">
        <v>20814.646463745477</v>
      </c>
      <c r="P5" s="34">
        <v>26.803745918368232</v>
      </c>
      <c r="Q5" s="34" t="s">
        <v>68</v>
      </c>
      <c r="R5" s="34">
        <v>25.454495930216531</v>
      </c>
      <c r="S5" s="34">
        <v>26.552990784573012</v>
      </c>
      <c r="T5" s="34" t="s">
        <v>68</v>
      </c>
      <c r="U5" s="35">
        <v>41.131072911251692</v>
      </c>
      <c r="V5" s="35">
        <v>67.164473013183951</v>
      </c>
      <c r="W5" s="35">
        <v>20.269804996212262</v>
      </c>
      <c r="X5" s="35">
        <v>19.344647840431136</v>
      </c>
      <c r="Y5" s="35">
        <v>14.694456854521071</v>
      </c>
      <c r="Z5" s="19">
        <v>11</v>
      </c>
      <c r="AA5" s="19">
        <v>15.5</v>
      </c>
      <c r="AB5" s="19">
        <v>16.5</v>
      </c>
      <c r="AC5" s="19">
        <v>26</v>
      </c>
      <c r="AD5" s="21">
        <v>28</v>
      </c>
      <c r="AE5" s="19">
        <v>41.3</v>
      </c>
      <c r="AF5" s="19">
        <v>42.2</v>
      </c>
      <c r="AG5" s="19">
        <v>44.3</v>
      </c>
      <c r="AH5" s="19">
        <v>43</v>
      </c>
      <c r="AI5" s="21">
        <v>37.700000000000003</v>
      </c>
      <c r="AJ5" s="23">
        <v>59.72</v>
      </c>
      <c r="AK5" s="23">
        <v>65.02</v>
      </c>
      <c r="AL5" s="23">
        <v>1128.04</v>
      </c>
      <c r="AM5" s="23">
        <v>34.369999999999997</v>
      </c>
      <c r="AN5" s="23">
        <v>3.35</v>
      </c>
      <c r="AO5" s="23">
        <v>46.15</v>
      </c>
      <c r="AP5" s="23">
        <v>3.0466673076922999</v>
      </c>
      <c r="AQ5" s="23">
        <v>7.2</v>
      </c>
      <c r="AR5" s="23">
        <f t="shared" si="0"/>
        <v>107.079320998992</v>
      </c>
      <c r="AS5" s="26">
        <v>7.5670000000000002</v>
      </c>
      <c r="AT5" s="26">
        <v>13.904</v>
      </c>
      <c r="AU5" s="26">
        <v>187.702</v>
      </c>
      <c r="AV5" s="26">
        <v>70.876999999999995</v>
      </c>
      <c r="AW5" s="26">
        <v>4.5590000000000002</v>
      </c>
      <c r="AX5" s="26">
        <v>3.87</v>
      </c>
      <c r="AY5" s="26">
        <v>17.459</v>
      </c>
      <c r="AZ5" s="26">
        <v>34.76</v>
      </c>
      <c r="BA5" s="28">
        <v>131.07031754082064</v>
      </c>
      <c r="BB5" s="26">
        <v>533.10400000000004</v>
      </c>
      <c r="BC5" s="26">
        <v>124.47199999999999</v>
      </c>
      <c r="BD5" s="26">
        <v>129.84399999999999</v>
      </c>
      <c r="BE5" s="26">
        <v>91.131</v>
      </c>
      <c r="BF5" s="28">
        <v>68.68889176179033</v>
      </c>
      <c r="BG5" s="28">
        <v>112.16466993201719</v>
      </c>
      <c r="BH5" s="28">
        <v>33.850574343674474</v>
      </c>
      <c r="BI5" s="28">
        <v>32.305561893519993</v>
      </c>
      <c r="BJ5" s="28">
        <v>24.53974294705019</v>
      </c>
      <c r="BK5" s="26">
        <v>4.361653788E-2</v>
      </c>
      <c r="BL5" s="18">
        <f t="shared" si="1"/>
        <v>5.0977114989889483</v>
      </c>
      <c r="BM5" s="18">
        <f t="shared" si="2"/>
        <v>8.9823428731847414</v>
      </c>
      <c r="BN5" s="28">
        <v>17.773486323017536</v>
      </c>
    </row>
    <row r="6" spans="1:66" ht="15.75" customHeight="1" x14ac:dyDescent="0.2">
      <c r="A6" s="12">
        <v>2</v>
      </c>
      <c r="B6" s="12" t="s">
        <v>66</v>
      </c>
      <c r="C6" s="7" t="s">
        <v>69</v>
      </c>
      <c r="D6" s="19">
        <v>2</v>
      </c>
      <c r="E6" s="13">
        <v>4.43</v>
      </c>
      <c r="F6" s="9">
        <v>1.73</v>
      </c>
      <c r="G6" s="29">
        <v>19.7</v>
      </c>
      <c r="H6" s="30" t="s">
        <v>68</v>
      </c>
      <c r="I6" s="30">
        <v>3308.9698738468137</v>
      </c>
      <c r="J6" s="30">
        <v>37079.109004309023</v>
      </c>
      <c r="K6" s="30" t="s">
        <v>68</v>
      </c>
      <c r="L6" s="31" t="s">
        <v>68</v>
      </c>
      <c r="M6" s="31" t="s">
        <v>68</v>
      </c>
      <c r="N6" s="31">
        <v>10880.029232413228</v>
      </c>
      <c r="O6" s="31" t="s">
        <v>68</v>
      </c>
      <c r="P6" s="30">
        <v>23.440303685206089</v>
      </c>
      <c r="Q6" s="30">
        <v>121.7308307573423</v>
      </c>
      <c r="R6" s="30" t="s">
        <v>68</v>
      </c>
      <c r="S6" s="30">
        <v>27.807030737736934</v>
      </c>
      <c r="T6" s="30">
        <v>21.321609858308889</v>
      </c>
      <c r="U6" s="31" t="s">
        <v>68</v>
      </c>
      <c r="V6" s="31">
        <v>69.368280489266581</v>
      </c>
      <c r="W6" s="31" t="s">
        <v>68</v>
      </c>
      <c r="X6" s="31">
        <v>21.288316495609571</v>
      </c>
      <c r="Y6" s="31">
        <v>14.409498982116933</v>
      </c>
      <c r="Z6" s="12">
        <v>9</v>
      </c>
      <c r="AA6" s="12">
        <v>14</v>
      </c>
      <c r="AB6" s="12">
        <v>15</v>
      </c>
      <c r="AC6" s="12">
        <v>22</v>
      </c>
      <c r="AD6" s="13">
        <v>28</v>
      </c>
      <c r="AE6" s="12">
        <v>43.8</v>
      </c>
      <c r="AF6" s="12">
        <v>44.5</v>
      </c>
      <c r="AG6" s="12">
        <v>45.6</v>
      </c>
      <c r="AH6" s="12">
        <v>41.8</v>
      </c>
      <c r="AI6" s="13">
        <v>38.1</v>
      </c>
      <c r="AJ6" s="16">
        <v>62.54</v>
      </c>
      <c r="AK6" s="16">
        <v>68.010000000000005</v>
      </c>
      <c r="AL6" s="16">
        <v>1224.1099999999999</v>
      </c>
      <c r="AM6" s="16">
        <v>36.43</v>
      </c>
      <c r="AN6" s="16">
        <v>1.75</v>
      </c>
      <c r="AO6" s="16">
        <v>47.56</v>
      </c>
      <c r="AP6" s="16">
        <v>3.2992589743590002</v>
      </c>
      <c r="AQ6" s="16">
        <v>7.2</v>
      </c>
      <c r="AR6" s="16">
        <f t="shared" si="0"/>
        <v>118.99759830725864</v>
      </c>
      <c r="AS6" s="17" t="s">
        <v>68</v>
      </c>
      <c r="AT6" s="17">
        <v>14.659000000000001</v>
      </c>
      <c r="AU6" s="17">
        <v>164.26</v>
      </c>
      <c r="AV6" s="17" t="s">
        <v>68</v>
      </c>
      <c r="AW6" s="17" t="s">
        <v>68</v>
      </c>
      <c r="AX6" s="17" t="s">
        <v>68</v>
      </c>
      <c r="AY6" s="17">
        <v>18.821999999999999</v>
      </c>
      <c r="AZ6" s="17" t="s">
        <v>68</v>
      </c>
      <c r="BA6" s="32">
        <v>103.84054532546297</v>
      </c>
      <c r="BB6" s="17">
        <v>539.26800000000003</v>
      </c>
      <c r="BC6" s="17">
        <v>179.99700000000001</v>
      </c>
      <c r="BD6" s="17">
        <v>123.185</v>
      </c>
      <c r="BE6" s="17">
        <v>94.454999999999998</v>
      </c>
      <c r="BF6" s="32">
        <v>83.039003407397388</v>
      </c>
      <c r="BG6" s="32">
        <v>120.00712524643119</v>
      </c>
      <c r="BH6" s="32">
        <v>49.000018230135375</v>
      </c>
      <c r="BI6" s="32">
        <v>36.828787537404558</v>
      </c>
      <c r="BJ6" s="32">
        <v>24.928433239062294</v>
      </c>
      <c r="BK6" s="17" t="s">
        <v>68</v>
      </c>
      <c r="BL6" s="18" t="s">
        <v>68</v>
      </c>
      <c r="BM6" s="18" t="s">
        <v>68</v>
      </c>
      <c r="BN6" s="17" t="s">
        <v>68</v>
      </c>
    </row>
    <row r="7" spans="1:66" ht="15.75" customHeight="1" x14ac:dyDescent="0.2">
      <c r="A7" s="19">
        <v>2</v>
      </c>
      <c r="B7" s="19" t="s">
        <v>66</v>
      </c>
      <c r="C7" s="20" t="s">
        <v>69</v>
      </c>
      <c r="D7" s="12">
        <v>3</v>
      </c>
      <c r="E7" s="21">
        <v>4.6399999999999997</v>
      </c>
      <c r="F7" s="22">
        <v>1.51</v>
      </c>
      <c r="G7" s="23">
        <v>16.7</v>
      </c>
      <c r="H7" s="24">
        <v>1469.4367652590661</v>
      </c>
      <c r="I7" s="24">
        <v>2514.221503418592</v>
      </c>
      <c r="J7" s="24" t="s">
        <v>68</v>
      </c>
      <c r="K7" s="24">
        <v>14577.837655973046</v>
      </c>
      <c r="L7" s="25">
        <v>2951.0272761785104</v>
      </c>
      <c r="M7" s="25">
        <v>2286.5138414594367</v>
      </c>
      <c r="N7" s="25" t="s">
        <v>68</v>
      </c>
      <c r="O7" s="25">
        <v>22005.806687536984</v>
      </c>
      <c r="P7" s="24">
        <v>24.421767279425666</v>
      </c>
      <c r="Q7" s="24">
        <v>127.4793548020715</v>
      </c>
      <c r="R7" s="24">
        <v>30.592967013294153</v>
      </c>
      <c r="S7" s="24">
        <v>29.849162315124374</v>
      </c>
      <c r="T7" s="24">
        <v>21.757243877067665</v>
      </c>
      <c r="U7" s="25">
        <v>41.33157498299191</v>
      </c>
      <c r="V7" s="25">
        <v>71.710298388590999</v>
      </c>
      <c r="W7" s="25">
        <v>21.621569826911799</v>
      </c>
      <c r="X7" s="25">
        <v>18.061190076244703</v>
      </c>
      <c r="Y7" s="25">
        <v>15.438794502632156</v>
      </c>
      <c r="Z7" s="19">
        <v>9</v>
      </c>
      <c r="AA7" s="19">
        <v>13</v>
      </c>
      <c r="AB7" s="19">
        <v>14</v>
      </c>
      <c r="AC7" s="19">
        <v>20</v>
      </c>
      <c r="AD7" s="21">
        <v>26</v>
      </c>
      <c r="AE7" s="19">
        <v>41.4</v>
      </c>
      <c r="AF7" s="19">
        <v>41.8</v>
      </c>
      <c r="AG7" s="19">
        <v>43.7</v>
      </c>
      <c r="AH7" s="19">
        <v>42.3</v>
      </c>
      <c r="AI7" s="21">
        <v>37.1</v>
      </c>
      <c r="AJ7" s="23">
        <v>57.19</v>
      </c>
      <c r="AK7" s="23">
        <v>65.19</v>
      </c>
      <c r="AL7" s="23">
        <v>1196.21</v>
      </c>
      <c r="AM7" s="23">
        <v>37.549999999999997</v>
      </c>
      <c r="AN7" s="23">
        <v>1.98</v>
      </c>
      <c r="AO7" s="23">
        <v>53.95</v>
      </c>
      <c r="AP7" s="23">
        <v>3.2305602564103002</v>
      </c>
      <c r="AQ7" s="23">
        <v>7.2</v>
      </c>
      <c r="AR7" s="23">
        <f t="shared" si="0"/>
        <v>84.23088986134303</v>
      </c>
      <c r="AS7" s="26">
        <v>6.8179999999999996</v>
      </c>
      <c r="AT7" s="26">
        <v>11.666</v>
      </c>
      <c r="AU7" s="26">
        <v>131.39699999999999</v>
      </c>
      <c r="AV7" s="26">
        <v>67.641000000000005</v>
      </c>
      <c r="AW7" s="26">
        <v>4.4560000000000004</v>
      </c>
      <c r="AX7" s="26">
        <v>3.4529999999999998</v>
      </c>
      <c r="AY7" s="26" t="s">
        <v>68</v>
      </c>
      <c r="AZ7" s="26">
        <v>33.228999999999999</v>
      </c>
      <c r="BA7" s="28">
        <v>113.31700017653507</v>
      </c>
      <c r="BB7" s="26">
        <v>591.50400000000002</v>
      </c>
      <c r="BC7" s="26">
        <v>141.95099999999999</v>
      </c>
      <c r="BD7" s="26">
        <v>138.5</v>
      </c>
      <c r="BE7" s="26">
        <v>100.95399999999999</v>
      </c>
      <c r="BF7" s="28">
        <v>62.410678224317785</v>
      </c>
      <c r="BG7" s="28">
        <v>108.28255056677241</v>
      </c>
      <c r="BH7" s="28">
        <v>32.648570438636817</v>
      </c>
      <c r="BI7" s="28">
        <v>27.272397015129503</v>
      </c>
      <c r="BJ7" s="28">
        <v>23.312579698974556</v>
      </c>
      <c r="BK7" s="26">
        <v>4.0554812150000001E-2</v>
      </c>
      <c r="BL7" s="18">
        <f t="shared" ref="BL7:BL9" si="3">K7/I7</f>
        <v>5.7981516887639097</v>
      </c>
      <c r="BM7" s="18">
        <f t="shared" ref="BM7:BM8" si="4">O7/M7</f>
        <v>9.6241738355238269</v>
      </c>
      <c r="BN7" s="28">
        <v>15.118623676466015</v>
      </c>
    </row>
    <row r="8" spans="1:66" ht="15.75" customHeight="1" x14ac:dyDescent="0.2">
      <c r="A8" s="12">
        <v>3</v>
      </c>
      <c r="B8" s="6" t="s">
        <v>66</v>
      </c>
      <c r="C8" s="7" t="s">
        <v>70</v>
      </c>
      <c r="D8" s="6">
        <v>1</v>
      </c>
      <c r="E8" s="13">
        <v>6.24</v>
      </c>
      <c r="F8" s="9" t="s">
        <v>68</v>
      </c>
      <c r="G8" s="9" t="s">
        <v>68</v>
      </c>
      <c r="H8" s="10">
        <v>1634.3079042998124</v>
      </c>
      <c r="I8" s="10">
        <v>3177.1006543840049</v>
      </c>
      <c r="J8" s="10">
        <v>38874.504111811599</v>
      </c>
      <c r="K8" s="10">
        <v>9868.6344341938711</v>
      </c>
      <c r="L8" s="11">
        <v>2866.4097121704021</v>
      </c>
      <c r="M8" s="11">
        <v>2318.6550346471677</v>
      </c>
      <c r="N8" s="11">
        <v>7789.5412808911415</v>
      </c>
      <c r="O8" s="11">
        <v>18156.737790607538</v>
      </c>
      <c r="P8" s="10" t="s">
        <v>68</v>
      </c>
      <c r="Q8" s="10">
        <v>166.75174718787864</v>
      </c>
      <c r="R8" s="10">
        <v>32.171140126475734</v>
      </c>
      <c r="S8" s="10">
        <v>29.114977677706328</v>
      </c>
      <c r="T8" s="10">
        <v>17.801830337389514</v>
      </c>
      <c r="U8" s="11">
        <v>35.522730809168642</v>
      </c>
      <c r="V8" s="11">
        <v>74.68360372473515</v>
      </c>
      <c r="W8" s="11">
        <v>20.046484281049089</v>
      </c>
      <c r="X8" s="11">
        <v>21.77223610367006</v>
      </c>
      <c r="Y8" s="11">
        <v>13.098002692025148</v>
      </c>
      <c r="Z8" s="12">
        <v>10.5</v>
      </c>
      <c r="AA8" s="12">
        <v>15</v>
      </c>
      <c r="AB8" s="12">
        <v>18</v>
      </c>
      <c r="AC8" s="12">
        <v>27</v>
      </c>
      <c r="AD8" s="13">
        <v>29</v>
      </c>
      <c r="AE8" s="12">
        <v>46.5</v>
      </c>
      <c r="AF8" s="12">
        <v>43.3</v>
      </c>
      <c r="AG8" s="12">
        <v>43.5</v>
      </c>
      <c r="AH8" s="12">
        <v>40.4</v>
      </c>
      <c r="AI8" s="13">
        <v>33.200000000000003</v>
      </c>
      <c r="AJ8" s="16">
        <v>82.38</v>
      </c>
      <c r="AK8" s="16">
        <v>48.41</v>
      </c>
      <c r="AL8" s="16">
        <v>1425.49</v>
      </c>
      <c r="AM8" s="16">
        <v>26.94</v>
      </c>
      <c r="AN8" s="16">
        <v>1.49</v>
      </c>
      <c r="AO8" s="16">
        <v>64.790000000000006</v>
      </c>
      <c r="AP8" s="16">
        <v>3.7380391025641</v>
      </c>
      <c r="AQ8" s="16">
        <v>7.1</v>
      </c>
      <c r="AR8" s="16">
        <f t="shared" si="0"/>
        <v>109.12255161427609</v>
      </c>
      <c r="AS8" s="17">
        <v>10.198</v>
      </c>
      <c r="AT8" s="17">
        <v>19.824999999999999</v>
      </c>
      <c r="AU8" s="17">
        <v>242.577</v>
      </c>
      <c r="AV8" s="17">
        <v>61.58</v>
      </c>
      <c r="AW8" s="17" t="s">
        <v>68</v>
      </c>
      <c r="AX8" s="17" t="s">
        <v>68</v>
      </c>
      <c r="AY8" s="17">
        <v>23.835999999999999</v>
      </c>
      <c r="AZ8" s="17" t="s">
        <v>68</v>
      </c>
      <c r="BA8" s="32" t="s">
        <v>68</v>
      </c>
      <c r="BB8" s="17">
        <v>1040.5309999999999</v>
      </c>
      <c r="BC8" s="17">
        <v>200.74799999999999</v>
      </c>
      <c r="BD8" s="17">
        <v>181.67699999999999</v>
      </c>
      <c r="BE8" s="17">
        <v>111.083</v>
      </c>
      <c r="BF8" s="32">
        <v>108.69955627605604</v>
      </c>
      <c r="BG8" s="32">
        <v>228.53182739768957</v>
      </c>
      <c r="BH8" s="32">
        <v>61.342241900010215</v>
      </c>
      <c r="BI8" s="32">
        <v>66.623042477230385</v>
      </c>
      <c r="BJ8" s="32">
        <v>40.079888237596954</v>
      </c>
      <c r="BK8" s="17" t="s">
        <v>68</v>
      </c>
      <c r="BL8" s="18">
        <f t="shared" si="3"/>
        <v>3.1061761989115388</v>
      </c>
      <c r="BM8" s="18">
        <f t="shared" si="4"/>
        <v>7.8307197574866798</v>
      </c>
      <c r="BN8" s="17" t="s">
        <v>68</v>
      </c>
    </row>
    <row r="9" spans="1:66" ht="15.75" customHeight="1" x14ac:dyDescent="0.2">
      <c r="A9" s="19">
        <v>3</v>
      </c>
      <c r="B9" s="19" t="s">
        <v>66</v>
      </c>
      <c r="C9" s="20" t="s">
        <v>70</v>
      </c>
      <c r="D9" s="19">
        <v>2</v>
      </c>
      <c r="E9" s="21">
        <v>5.52</v>
      </c>
      <c r="F9" s="22">
        <v>2.38</v>
      </c>
      <c r="G9" s="23">
        <v>25.2</v>
      </c>
      <c r="H9" s="24">
        <v>1836.6535634464215</v>
      </c>
      <c r="I9" s="24">
        <v>3047.1344128001838</v>
      </c>
      <c r="J9" s="24">
        <v>35338.507726950316</v>
      </c>
      <c r="K9" s="24">
        <v>11105.293241062767</v>
      </c>
      <c r="L9" s="25">
        <v>3196.8106145006136</v>
      </c>
      <c r="M9" s="25" t="s">
        <v>68</v>
      </c>
      <c r="N9" s="25" t="s">
        <v>68</v>
      </c>
      <c r="O9" s="25">
        <v>18844.526811556741</v>
      </c>
      <c r="P9" s="24">
        <v>29.761271305451672</v>
      </c>
      <c r="Q9" s="24">
        <v>137.77828972004031</v>
      </c>
      <c r="R9" s="24" t="s">
        <v>68</v>
      </c>
      <c r="S9" s="24">
        <v>30.97570898289845</v>
      </c>
      <c r="T9" s="24">
        <v>21.734706774387462</v>
      </c>
      <c r="U9" s="25">
        <v>34.504452926912229</v>
      </c>
      <c r="V9" s="25">
        <v>68.215458506929949</v>
      </c>
      <c r="W9" s="25">
        <v>22.577148633516263</v>
      </c>
      <c r="X9" s="25">
        <v>20.621399507212825</v>
      </c>
      <c r="Y9" s="25">
        <v>14.20473913924736</v>
      </c>
      <c r="Z9" s="19">
        <v>9.5</v>
      </c>
      <c r="AA9" s="19">
        <v>13.5</v>
      </c>
      <c r="AB9" s="19" t="s">
        <v>68</v>
      </c>
      <c r="AC9" s="19">
        <v>24</v>
      </c>
      <c r="AD9" s="21">
        <v>26</v>
      </c>
      <c r="AE9" s="19">
        <v>44.7</v>
      </c>
      <c r="AF9" s="19">
        <v>45.4</v>
      </c>
      <c r="AG9" s="19">
        <v>46.4</v>
      </c>
      <c r="AH9" s="19">
        <v>44.3</v>
      </c>
      <c r="AI9" s="21">
        <v>37</v>
      </c>
      <c r="AJ9" s="23">
        <v>79.31</v>
      </c>
      <c r="AK9" s="23">
        <v>58.25</v>
      </c>
      <c r="AL9" s="23">
        <v>1314.96</v>
      </c>
      <c r="AM9" s="23">
        <v>31.23</v>
      </c>
      <c r="AN9" s="23">
        <v>1.1200000000000001</v>
      </c>
      <c r="AO9" s="23">
        <v>51.18</v>
      </c>
      <c r="AP9" s="23">
        <v>3.4922044871794999</v>
      </c>
      <c r="AQ9" s="23">
        <v>7.2</v>
      </c>
      <c r="AR9" s="23">
        <f t="shared" si="0"/>
        <v>98.371740723755281</v>
      </c>
      <c r="AS9" s="26">
        <v>10.138</v>
      </c>
      <c r="AT9" s="26">
        <v>16.82</v>
      </c>
      <c r="AU9" s="26">
        <v>195.06899999999999</v>
      </c>
      <c r="AV9" s="26">
        <v>61.301000000000002</v>
      </c>
      <c r="AW9" s="26">
        <v>7.6079999999999997</v>
      </c>
      <c r="AX9" s="26">
        <v>5.399</v>
      </c>
      <c r="AY9" s="26" t="s">
        <v>68</v>
      </c>
      <c r="AZ9" s="26">
        <v>44.85</v>
      </c>
      <c r="BA9" s="28">
        <v>164.28221760609321</v>
      </c>
      <c r="BB9" s="26">
        <v>760.53599999999994</v>
      </c>
      <c r="BC9" s="26">
        <v>377.72</v>
      </c>
      <c r="BD9" s="26">
        <v>170.98599999999999</v>
      </c>
      <c r="BE9" s="26">
        <v>119.976</v>
      </c>
      <c r="BF9" s="28">
        <v>82.120597966051108</v>
      </c>
      <c r="BG9" s="28">
        <v>162.35279124649327</v>
      </c>
      <c r="BH9" s="28">
        <v>53.7336137477687</v>
      </c>
      <c r="BI9" s="28">
        <v>49.078930827166523</v>
      </c>
      <c r="BJ9" s="28">
        <v>33.807279151408714</v>
      </c>
      <c r="BK9" s="26">
        <v>4.8621197079999998E-2</v>
      </c>
      <c r="BL9" s="18">
        <f t="shared" si="3"/>
        <v>3.6445038966487489</v>
      </c>
      <c r="BM9" s="18" t="s">
        <v>68</v>
      </c>
      <c r="BN9" s="28">
        <v>22.219107576676144</v>
      </c>
    </row>
    <row r="10" spans="1:66" ht="15.75" customHeight="1" x14ac:dyDescent="0.2">
      <c r="A10" s="12">
        <v>3</v>
      </c>
      <c r="B10" s="12" t="s">
        <v>66</v>
      </c>
      <c r="C10" s="7" t="s">
        <v>70</v>
      </c>
      <c r="D10" s="12">
        <v>3</v>
      </c>
      <c r="E10" s="13">
        <v>5.52</v>
      </c>
      <c r="F10" s="9">
        <v>2.35</v>
      </c>
      <c r="G10" s="29">
        <v>26.7</v>
      </c>
      <c r="H10" s="30" t="s">
        <v>68</v>
      </c>
      <c r="I10" s="30" t="s">
        <v>68</v>
      </c>
      <c r="J10" s="30" t="s">
        <v>68</v>
      </c>
      <c r="K10" s="30">
        <v>11922.802777009687</v>
      </c>
      <c r="L10" s="31">
        <v>3003.6967876735557</v>
      </c>
      <c r="M10" s="31">
        <v>2329.3615815883045</v>
      </c>
      <c r="N10" s="31">
        <v>8033.1397395780241</v>
      </c>
      <c r="O10" s="31">
        <v>18732.617459422498</v>
      </c>
      <c r="P10" s="30">
        <v>28.389550592192634</v>
      </c>
      <c r="Q10" s="30" t="s">
        <v>68</v>
      </c>
      <c r="R10" s="30">
        <v>36.353256831958277</v>
      </c>
      <c r="S10" s="30">
        <v>33.556439411831597</v>
      </c>
      <c r="T10" s="30">
        <v>19.551349027159233</v>
      </c>
      <c r="U10" s="31" t="s">
        <v>68</v>
      </c>
      <c r="V10" s="31">
        <v>81.850153488481453</v>
      </c>
      <c r="W10" s="31">
        <v>24.665810301247944</v>
      </c>
      <c r="X10" s="31">
        <v>22.455299343052506</v>
      </c>
      <c r="Y10" s="31">
        <v>13.867703705594161</v>
      </c>
      <c r="Z10" s="12">
        <v>10</v>
      </c>
      <c r="AA10" s="12">
        <v>14.5</v>
      </c>
      <c r="AB10" s="12">
        <v>18</v>
      </c>
      <c r="AC10" s="12">
        <v>23</v>
      </c>
      <c r="AD10" s="13">
        <v>26</v>
      </c>
      <c r="AE10" s="12">
        <v>42</v>
      </c>
      <c r="AF10" s="12">
        <v>42.2</v>
      </c>
      <c r="AG10" s="12">
        <v>44.6</v>
      </c>
      <c r="AH10" s="12">
        <v>41.9</v>
      </c>
      <c r="AI10" s="13">
        <v>42.8</v>
      </c>
      <c r="AJ10" s="16">
        <v>72.349999999999994</v>
      </c>
      <c r="AK10" s="16">
        <v>49.93</v>
      </c>
      <c r="AL10" s="16">
        <v>1508.61</v>
      </c>
      <c r="AM10" s="16">
        <v>29.35</v>
      </c>
      <c r="AN10" s="16">
        <v>1.78</v>
      </c>
      <c r="AO10" s="16">
        <v>70.48</v>
      </c>
      <c r="AP10" s="16">
        <v>3.9578294871795001</v>
      </c>
      <c r="AQ10" s="16">
        <v>7.1</v>
      </c>
      <c r="AR10" s="16" t="e">
        <f t="shared" si="0"/>
        <v>#VALUE!</v>
      </c>
      <c r="AS10" s="17" t="s">
        <v>68</v>
      </c>
      <c r="AT10" s="17">
        <v>13.81</v>
      </c>
      <c r="AU10" s="17">
        <v>150.911</v>
      </c>
      <c r="AV10" s="17">
        <v>65.813999999999993</v>
      </c>
      <c r="AW10" s="17">
        <v>7.0590000000000002</v>
      </c>
      <c r="AX10" s="17">
        <v>5.4740000000000002</v>
      </c>
      <c r="AY10" s="17">
        <v>18.878</v>
      </c>
      <c r="AZ10" s="17">
        <v>44.021999999999998</v>
      </c>
      <c r="BA10" s="32">
        <v>156.71031926890333</v>
      </c>
      <c r="BB10" s="17">
        <v>3225.5830000000001</v>
      </c>
      <c r="BC10" s="17">
        <v>200.67</v>
      </c>
      <c r="BD10" s="17">
        <v>185.232</v>
      </c>
      <c r="BE10" s="17">
        <v>107.923</v>
      </c>
      <c r="BF10" s="32">
        <v>110.31703554599794</v>
      </c>
      <c r="BG10" s="32">
        <v>192.34786069793142</v>
      </c>
      <c r="BH10" s="32">
        <v>57.964654207932675</v>
      </c>
      <c r="BI10" s="32">
        <v>52.76995345617339</v>
      </c>
      <c r="BJ10" s="32">
        <v>32.589103708146283</v>
      </c>
      <c r="BK10" s="17" t="s">
        <v>68</v>
      </c>
      <c r="BL10" s="18" t="s">
        <v>68</v>
      </c>
      <c r="BM10" s="18">
        <f>O10/M10</f>
        <v>8.0419534723541837</v>
      </c>
      <c r="BN10" s="32">
        <v>19.28405770251328</v>
      </c>
    </row>
    <row r="11" spans="1:66" ht="15.75" customHeight="1" x14ac:dyDescent="0.2">
      <c r="A11" s="19">
        <v>4</v>
      </c>
      <c r="B11" s="33" t="s">
        <v>71</v>
      </c>
      <c r="C11" s="20" t="s">
        <v>67</v>
      </c>
      <c r="D11" s="6">
        <v>1</v>
      </c>
      <c r="E11" s="21">
        <v>4.13</v>
      </c>
      <c r="F11" s="22">
        <v>1.73</v>
      </c>
      <c r="G11" s="23">
        <v>18.2</v>
      </c>
      <c r="H11" s="34">
        <v>1221.0410306695492</v>
      </c>
      <c r="I11" s="34">
        <v>2299.0948980309099</v>
      </c>
      <c r="J11" s="34">
        <v>26446.512046780183</v>
      </c>
      <c r="K11" s="34">
        <v>13802.764457960806</v>
      </c>
      <c r="L11" s="35">
        <v>2464.3827827960085</v>
      </c>
      <c r="M11" s="35" t="s">
        <v>68</v>
      </c>
      <c r="N11" s="35">
        <v>8848.1888998457634</v>
      </c>
      <c r="O11" s="35">
        <v>20641.721450700257</v>
      </c>
      <c r="P11" s="34">
        <v>17.807694170425073</v>
      </c>
      <c r="Q11" s="34" t="s">
        <v>68</v>
      </c>
      <c r="R11" s="34" t="s">
        <v>68</v>
      </c>
      <c r="S11" s="34">
        <v>18.462283238196843</v>
      </c>
      <c r="T11" s="34" t="s">
        <v>68</v>
      </c>
      <c r="U11" s="35">
        <v>36.375623490724074</v>
      </c>
      <c r="V11" s="35">
        <v>62.531034002847065</v>
      </c>
      <c r="W11" s="35">
        <v>18.745403866710408</v>
      </c>
      <c r="X11" s="35">
        <v>18.103671414703204</v>
      </c>
      <c r="Y11" s="35">
        <v>15.029193368521081</v>
      </c>
      <c r="Z11" s="19">
        <v>9.5</v>
      </c>
      <c r="AA11" s="19">
        <v>14.5</v>
      </c>
      <c r="AB11" s="19">
        <v>15</v>
      </c>
      <c r="AC11" s="19">
        <v>22.5</v>
      </c>
      <c r="AD11" s="21">
        <v>25</v>
      </c>
      <c r="AE11" s="19">
        <v>44.4</v>
      </c>
      <c r="AF11" s="19">
        <v>44.3</v>
      </c>
      <c r="AG11" s="19">
        <v>46.1</v>
      </c>
      <c r="AH11" s="19">
        <v>40.700000000000003</v>
      </c>
      <c r="AI11" s="21">
        <v>37</v>
      </c>
      <c r="AJ11" s="23">
        <v>47.11</v>
      </c>
      <c r="AK11" s="23">
        <v>69.31</v>
      </c>
      <c r="AL11" s="23">
        <v>1465.98</v>
      </c>
      <c r="AM11" s="23">
        <v>42.42</v>
      </c>
      <c r="AN11" s="23">
        <v>1.1100000000000001</v>
      </c>
      <c r="AO11" s="23">
        <v>77.16</v>
      </c>
      <c r="AP11" s="23">
        <v>3.9305589743590001</v>
      </c>
      <c r="AQ11" s="23">
        <v>6.83</v>
      </c>
      <c r="AR11" s="23">
        <f t="shared" si="0"/>
        <v>124.52928320773914</v>
      </c>
      <c r="AS11" s="26">
        <v>5.0430000000000001</v>
      </c>
      <c r="AT11" s="26">
        <v>9.4949999999999992</v>
      </c>
      <c r="AU11" s="26">
        <v>109.224</v>
      </c>
      <c r="AV11" s="26">
        <v>57.005000000000003</v>
      </c>
      <c r="AW11" s="26">
        <v>4.2629999999999999</v>
      </c>
      <c r="AX11" s="26">
        <v>4.2279999999999998</v>
      </c>
      <c r="AY11" s="26">
        <v>15.307</v>
      </c>
      <c r="AZ11" s="26">
        <v>35.71</v>
      </c>
      <c r="BA11" s="28" t="s">
        <v>68</v>
      </c>
      <c r="BB11" s="26">
        <v>416.05900000000003</v>
      </c>
      <c r="BC11" s="26">
        <v>99.367000000000004</v>
      </c>
      <c r="BD11" s="26">
        <v>76.248999999999995</v>
      </c>
      <c r="BE11" s="26">
        <v>60.415999999999997</v>
      </c>
      <c r="BF11" s="28">
        <v>62.92982863895265</v>
      </c>
      <c r="BG11" s="28">
        <v>108.17868882492542</v>
      </c>
      <c r="BH11" s="28">
        <v>32.429548689409003</v>
      </c>
      <c r="BI11" s="28">
        <v>31.319351547436543</v>
      </c>
      <c r="BJ11" s="28">
        <v>26.000504527541469</v>
      </c>
      <c r="BK11" s="26">
        <v>4.8723987810000001E-2</v>
      </c>
      <c r="BL11" s="18">
        <f t="shared" ref="BL11:BL17" si="5">K11/I11</f>
        <v>6.0035644765174174</v>
      </c>
      <c r="BM11" s="18" t="s">
        <v>68</v>
      </c>
      <c r="BN11" s="28">
        <v>13.722954356005911</v>
      </c>
    </row>
    <row r="12" spans="1:66" ht="15.75" customHeight="1" x14ac:dyDescent="0.2">
      <c r="A12" s="12">
        <v>4</v>
      </c>
      <c r="B12" s="12" t="s">
        <v>71</v>
      </c>
      <c r="C12" s="7" t="s">
        <v>67</v>
      </c>
      <c r="D12" s="19">
        <v>2</v>
      </c>
      <c r="E12" s="13">
        <v>5.23</v>
      </c>
      <c r="F12" s="9">
        <v>2.27</v>
      </c>
      <c r="G12" s="29">
        <v>24.8</v>
      </c>
      <c r="H12" s="30">
        <v>1293.9369168306253</v>
      </c>
      <c r="I12" s="30">
        <v>2545.4710385676376</v>
      </c>
      <c r="J12" s="30">
        <v>29551.817840739488</v>
      </c>
      <c r="K12" s="30">
        <v>12682.855267480621</v>
      </c>
      <c r="L12" s="31">
        <v>2212.9624803618822</v>
      </c>
      <c r="M12" s="31">
        <v>2158.2131138972982</v>
      </c>
      <c r="N12" s="31" t="s">
        <v>68</v>
      </c>
      <c r="O12" s="31">
        <v>18380.799750908413</v>
      </c>
      <c r="P12" s="30">
        <v>22.965451867705809</v>
      </c>
      <c r="Q12" s="30">
        <v>157.7459800982557</v>
      </c>
      <c r="R12" s="30">
        <v>28.570403081158773</v>
      </c>
      <c r="S12" s="30">
        <v>25.643925911153662</v>
      </c>
      <c r="T12" s="30">
        <v>21.823149835259297</v>
      </c>
      <c r="U12" s="31">
        <v>34.480411605369945</v>
      </c>
      <c r="V12" s="31">
        <v>60.283103526954619</v>
      </c>
      <c r="W12" s="31">
        <v>19.990562577000485</v>
      </c>
      <c r="X12" s="31">
        <v>17.464132708659573</v>
      </c>
      <c r="Y12" s="31" t="s">
        <v>68</v>
      </c>
      <c r="Z12" s="12">
        <v>11</v>
      </c>
      <c r="AA12" s="12">
        <v>14</v>
      </c>
      <c r="AB12" s="12">
        <v>15.5</v>
      </c>
      <c r="AC12" s="12">
        <v>25.5</v>
      </c>
      <c r="AD12" s="13" t="s">
        <v>68</v>
      </c>
      <c r="AE12" s="12">
        <v>45.8</v>
      </c>
      <c r="AF12" s="12">
        <v>43.4</v>
      </c>
      <c r="AG12" s="12">
        <v>44.4</v>
      </c>
      <c r="AH12" s="12">
        <v>42.6</v>
      </c>
      <c r="AI12" s="13">
        <v>38.200000000000003</v>
      </c>
      <c r="AJ12" s="16">
        <v>54.32</v>
      </c>
      <c r="AK12" s="16">
        <v>77.430000000000007</v>
      </c>
      <c r="AL12" s="16">
        <v>1162.97</v>
      </c>
      <c r="AM12" s="16">
        <v>45.29</v>
      </c>
      <c r="AN12" s="16">
        <v>1.19</v>
      </c>
      <c r="AO12" s="16">
        <v>41.05</v>
      </c>
      <c r="AP12" s="16">
        <v>3.1954025641025998</v>
      </c>
      <c r="AQ12" s="16">
        <v>7.1</v>
      </c>
      <c r="AR12" s="16">
        <f t="shared" si="0"/>
        <v>99.26214291004878</v>
      </c>
      <c r="AS12" s="17">
        <v>6.7670000000000003</v>
      </c>
      <c r="AT12" s="17">
        <v>13.313000000000001</v>
      </c>
      <c r="AU12" s="17">
        <v>154.55600000000001</v>
      </c>
      <c r="AV12" s="17" t="s">
        <v>68</v>
      </c>
      <c r="AW12" s="17" t="s">
        <v>68</v>
      </c>
      <c r="AX12" s="17" t="s">
        <v>68</v>
      </c>
      <c r="AY12" s="17" t="s">
        <v>68</v>
      </c>
      <c r="AZ12" s="17" t="s">
        <v>68</v>
      </c>
      <c r="BA12" s="32">
        <v>120.10931326810139</v>
      </c>
      <c r="BB12" s="17">
        <v>825.01099999999997</v>
      </c>
      <c r="BC12" s="17">
        <v>149.423</v>
      </c>
      <c r="BD12" s="17">
        <v>134.11799999999999</v>
      </c>
      <c r="BE12" s="17">
        <v>114.13500000000001</v>
      </c>
      <c r="BF12" s="32">
        <v>78.27053434418977</v>
      </c>
      <c r="BG12" s="32">
        <v>136.84264500618698</v>
      </c>
      <c r="BH12" s="32">
        <v>45.378577049791105</v>
      </c>
      <c r="BI12" s="32">
        <v>39.643581248657235</v>
      </c>
      <c r="BJ12" s="32">
        <v>29.763338242544847</v>
      </c>
      <c r="BK12" s="17" t="s">
        <v>68</v>
      </c>
      <c r="BL12" s="18">
        <f t="shared" si="5"/>
        <v>4.9825179997401943</v>
      </c>
      <c r="BM12" s="18">
        <f t="shared" ref="BM12:BM14" si="6">O12/M12</f>
        <v>8.5166750366539983</v>
      </c>
      <c r="BN12" s="17" t="s">
        <v>68</v>
      </c>
    </row>
    <row r="13" spans="1:66" ht="15.75" customHeight="1" x14ac:dyDescent="0.2">
      <c r="A13" s="19">
        <v>4</v>
      </c>
      <c r="B13" s="19" t="s">
        <v>71</v>
      </c>
      <c r="C13" s="20" t="s">
        <v>67</v>
      </c>
      <c r="D13" s="12">
        <v>3</v>
      </c>
      <c r="E13" s="21">
        <v>4.0599999999999996</v>
      </c>
      <c r="F13" s="22">
        <v>1.74</v>
      </c>
      <c r="G13" s="23">
        <v>20.100000000000001</v>
      </c>
      <c r="H13" s="24">
        <v>1338.9842095918584</v>
      </c>
      <c r="I13" s="24">
        <v>2510.1115864541603</v>
      </c>
      <c r="J13" s="24">
        <v>27900.816480630074</v>
      </c>
      <c r="K13" s="24">
        <v>14189.629265833659</v>
      </c>
      <c r="L13" s="25">
        <v>2524.5677303932171</v>
      </c>
      <c r="M13" s="25">
        <v>2364.4624092688664</v>
      </c>
      <c r="N13" s="25">
        <v>8813.6770388212262</v>
      </c>
      <c r="O13" s="25">
        <v>19071.529784967071</v>
      </c>
      <c r="P13" s="24">
        <v>29.739687808202234</v>
      </c>
      <c r="Q13" s="24">
        <v>173.05599445617918</v>
      </c>
      <c r="R13" s="24">
        <v>28.315246354819529</v>
      </c>
      <c r="S13" s="24">
        <v>29.3079987321582</v>
      </c>
      <c r="T13" s="24">
        <v>21.322879366599455</v>
      </c>
      <c r="U13" s="25" t="s">
        <v>68</v>
      </c>
      <c r="V13" s="25" t="s">
        <v>68</v>
      </c>
      <c r="W13" s="25" t="s">
        <v>68</v>
      </c>
      <c r="X13" s="25">
        <v>19.090753345123023</v>
      </c>
      <c r="Y13" s="25">
        <v>15.544824017549601</v>
      </c>
      <c r="Z13" s="19">
        <v>9.5</v>
      </c>
      <c r="AA13" s="19">
        <v>14.5</v>
      </c>
      <c r="AB13" s="19">
        <v>15</v>
      </c>
      <c r="AC13" s="19">
        <v>20</v>
      </c>
      <c r="AD13" s="21">
        <v>24</v>
      </c>
      <c r="AE13" s="19">
        <v>42.4</v>
      </c>
      <c r="AF13" s="19">
        <v>42</v>
      </c>
      <c r="AG13" s="19">
        <v>46.2</v>
      </c>
      <c r="AH13" s="19">
        <v>42.5</v>
      </c>
      <c r="AI13" s="21">
        <v>40.299999999999997</v>
      </c>
      <c r="AJ13" s="23">
        <v>53.28</v>
      </c>
      <c r="AK13" s="23">
        <v>84.05</v>
      </c>
      <c r="AL13" s="23">
        <v>1270.06</v>
      </c>
      <c r="AM13" s="23">
        <v>46.15</v>
      </c>
      <c r="AN13" s="23">
        <v>1.61</v>
      </c>
      <c r="AO13" s="23">
        <v>48.37</v>
      </c>
      <c r="AP13" s="23">
        <v>3.4751980769231001</v>
      </c>
      <c r="AQ13" s="23">
        <v>7</v>
      </c>
      <c r="AR13" s="23">
        <f t="shared" si="0"/>
        <v>85.645956566114506</v>
      </c>
      <c r="AS13" s="26">
        <v>5.4359999999999999</v>
      </c>
      <c r="AT13" s="26">
        <v>10.191000000000001</v>
      </c>
      <c r="AU13" s="26">
        <v>113.277</v>
      </c>
      <c r="AV13" s="26">
        <v>57.61</v>
      </c>
      <c r="AW13" s="26">
        <v>4.3929999999999998</v>
      </c>
      <c r="AX13" s="26">
        <v>4.1139999999999999</v>
      </c>
      <c r="AY13" s="26">
        <v>15.336</v>
      </c>
      <c r="AZ13" s="26">
        <v>33.183999999999997</v>
      </c>
      <c r="BA13" s="28">
        <v>120.74313250130106</v>
      </c>
      <c r="BB13" s="26">
        <v>702.60699999999997</v>
      </c>
      <c r="BC13" s="26">
        <v>114.96</v>
      </c>
      <c r="BD13" s="26">
        <v>118.99</v>
      </c>
      <c r="BE13" s="26">
        <v>86.570999999999998</v>
      </c>
      <c r="BF13" s="28">
        <v>73.687933344898411</v>
      </c>
      <c r="BG13" s="28">
        <v>130.08896889843135</v>
      </c>
      <c r="BH13" s="28">
        <v>46.07745259875918</v>
      </c>
      <c r="BI13" s="28">
        <v>33.217910820514057</v>
      </c>
      <c r="BJ13" s="28">
        <v>27.047993790536307</v>
      </c>
      <c r="BK13" s="26">
        <v>5.1460857290000002E-2</v>
      </c>
      <c r="BL13" s="18">
        <f t="shared" si="5"/>
        <v>5.6529874378526124</v>
      </c>
      <c r="BM13" s="18">
        <f t="shared" si="6"/>
        <v>8.0659052604115313</v>
      </c>
      <c r="BN13" s="28">
        <v>14.305217633131718</v>
      </c>
    </row>
    <row r="14" spans="1:66" ht="15.75" customHeight="1" x14ac:dyDescent="0.2">
      <c r="A14" s="12">
        <v>5</v>
      </c>
      <c r="B14" s="6" t="s">
        <v>71</v>
      </c>
      <c r="C14" s="7" t="s">
        <v>69</v>
      </c>
      <c r="D14" s="6">
        <v>1</v>
      </c>
      <c r="E14" s="13">
        <v>5.29</v>
      </c>
      <c r="F14" s="9">
        <v>2.78</v>
      </c>
      <c r="G14" s="29">
        <v>29.5</v>
      </c>
      <c r="H14" s="10">
        <v>1627.9911413114305</v>
      </c>
      <c r="I14" s="10">
        <v>3022.4001314193101</v>
      </c>
      <c r="J14" s="10">
        <v>35738.825932630512</v>
      </c>
      <c r="K14" s="10">
        <v>11168.007195926082</v>
      </c>
      <c r="L14" s="11">
        <v>2583.3054177855342</v>
      </c>
      <c r="M14" s="11">
        <v>2276.9756320854699</v>
      </c>
      <c r="N14" s="11">
        <v>8277.4378390427064</v>
      </c>
      <c r="O14" s="11">
        <v>18018.416038579744</v>
      </c>
      <c r="P14" s="10">
        <v>23.086113115977483</v>
      </c>
      <c r="Q14" s="10" t="s">
        <v>68</v>
      </c>
      <c r="R14" s="10" t="s">
        <v>68</v>
      </c>
      <c r="S14" s="10">
        <v>27.150055192346038</v>
      </c>
      <c r="T14" s="10">
        <v>17.570842917500638</v>
      </c>
      <c r="U14" s="11">
        <v>34.484586186882439</v>
      </c>
      <c r="V14" s="11">
        <v>69.845467872735341</v>
      </c>
      <c r="W14" s="11">
        <v>19.624324098140072</v>
      </c>
      <c r="X14" s="11">
        <v>19.869524982202879</v>
      </c>
      <c r="Y14" s="11">
        <v>15.54797549849885</v>
      </c>
      <c r="Z14" s="12">
        <v>10</v>
      </c>
      <c r="AA14" s="12">
        <v>13</v>
      </c>
      <c r="AB14" s="12">
        <v>15</v>
      </c>
      <c r="AC14" s="12">
        <v>27</v>
      </c>
      <c r="AD14" s="13">
        <v>30</v>
      </c>
      <c r="AE14" s="12" t="s">
        <v>68</v>
      </c>
      <c r="AF14" s="12">
        <v>43.3</v>
      </c>
      <c r="AG14" s="12" t="s">
        <v>68</v>
      </c>
      <c r="AH14" s="12">
        <v>41.5</v>
      </c>
      <c r="AI14" s="13">
        <v>35.9</v>
      </c>
      <c r="AJ14" s="16">
        <v>56</v>
      </c>
      <c r="AK14" s="16">
        <v>56.11</v>
      </c>
      <c r="AL14" s="16">
        <v>1354.31</v>
      </c>
      <c r="AM14" s="16">
        <v>32.85</v>
      </c>
      <c r="AN14" s="16">
        <v>9.5500000000000007</v>
      </c>
      <c r="AO14" s="16">
        <v>62.84</v>
      </c>
      <c r="AP14" s="16">
        <v>3.5945858974359002</v>
      </c>
      <c r="AQ14" s="16">
        <v>7</v>
      </c>
      <c r="AR14" s="16">
        <f t="shared" si="0"/>
        <v>111.32206214709151</v>
      </c>
      <c r="AS14" s="17">
        <v>8.6120000000000001</v>
      </c>
      <c r="AT14" s="17">
        <v>15.988</v>
      </c>
      <c r="AU14" s="17">
        <v>189.05799999999999</v>
      </c>
      <c r="AV14" s="17">
        <v>59.079000000000001</v>
      </c>
      <c r="AW14" s="17">
        <v>7.1820000000000004</v>
      </c>
      <c r="AX14" s="17" t="s">
        <v>68</v>
      </c>
      <c r="AY14" s="17">
        <v>23.010999999999999</v>
      </c>
      <c r="AZ14" s="17" t="s">
        <v>68</v>
      </c>
      <c r="BA14" s="32">
        <v>122.12553838352089</v>
      </c>
      <c r="BB14" s="17">
        <v>6479.7129999999997</v>
      </c>
      <c r="BC14" s="17">
        <v>229.47800000000001</v>
      </c>
      <c r="BD14" s="17">
        <v>143.624</v>
      </c>
      <c r="BE14" s="17">
        <v>92.95</v>
      </c>
      <c r="BF14" s="32">
        <v>95.867149599533178</v>
      </c>
      <c r="BG14" s="32">
        <v>194.17040068620423</v>
      </c>
      <c r="BH14" s="32">
        <v>54.555620992829397</v>
      </c>
      <c r="BI14" s="32">
        <v>55.237279450523999</v>
      </c>
      <c r="BJ14" s="32">
        <v>43.223371885826801</v>
      </c>
      <c r="BK14" s="17">
        <v>5.6811734529999998E-2</v>
      </c>
      <c r="BL14" s="18">
        <f t="shared" si="5"/>
        <v>3.6950789803868953</v>
      </c>
      <c r="BM14" s="18">
        <f t="shared" si="6"/>
        <v>7.9133108781128119</v>
      </c>
      <c r="BN14" s="17" t="s">
        <v>68</v>
      </c>
    </row>
    <row r="15" spans="1:66" ht="15.75" customHeight="1" x14ac:dyDescent="0.2">
      <c r="A15" s="19">
        <v>5</v>
      </c>
      <c r="B15" s="19" t="s">
        <v>71</v>
      </c>
      <c r="C15" s="20" t="s">
        <v>69</v>
      </c>
      <c r="D15" s="19">
        <v>2</v>
      </c>
      <c r="E15" s="21">
        <v>5.74</v>
      </c>
      <c r="F15" s="22">
        <v>2.6</v>
      </c>
      <c r="G15" s="23">
        <v>27.5</v>
      </c>
      <c r="H15" s="24">
        <v>1485.3437627679702</v>
      </c>
      <c r="I15" s="24">
        <v>2886.102503034595</v>
      </c>
      <c r="J15" s="24">
        <v>33814.514429942232</v>
      </c>
      <c r="K15" s="24">
        <v>11050.155512778414</v>
      </c>
      <c r="L15" s="25">
        <v>2617.4016372650258</v>
      </c>
      <c r="M15" s="25" t="s">
        <v>68</v>
      </c>
      <c r="N15" s="25" t="s">
        <v>68</v>
      </c>
      <c r="O15" s="25">
        <v>17555.234288702559</v>
      </c>
      <c r="P15" s="10">
        <v>19.354878143986056</v>
      </c>
      <c r="Q15" s="10">
        <v>134.32449359422191</v>
      </c>
      <c r="R15" s="10">
        <v>34.472513280010666</v>
      </c>
      <c r="S15" s="10">
        <v>25.524949598196883</v>
      </c>
      <c r="T15" s="10">
        <v>17.05575952068348</v>
      </c>
      <c r="U15" s="11" t="s">
        <v>68</v>
      </c>
      <c r="V15" s="11">
        <v>65.034174710867731</v>
      </c>
      <c r="W15" s="11">
        <v>20.05957156881928</v>
      </c>
      <c r="X15" s="11">
        <v>17.173791869597853</v>
      </c>
      <c r="Y15" s="11">
        <v>15.902789547525547</v>
      </c>
      <c r="Z15" s="19">
        <v>11</v>
      </c>
      <c r="AA15" s="19">
        <v>15.5</v>
      </c>
      <c r="AB15" s="19">
        <v>15.5</v>
      </c>
      <c r="AC15" s="19">
        <v>28</v>
      </c>
      <c r="AD15" s="21">
        <v>28</v>
      </c>
      <c r="AE15" s="19">
        <v>41</v>
      </c>
      <c r="AF15" s="19">
        <v>42.7</v>
      </c>
      <c r="AG15" s="19">
        <v>41.4</v>
      </c>
      <c r="AH15" s="19">
        <v>40.200000000000003</v>
      </c>
      <c r="AI15" s="21">
        <v>33.6</v>
      </c>
      <c r="AJ15" s="23">
        <v>54.53</v>
      </c>
      <c r="AK15" s="23">
        <v>60.97</v>
      </c>
      <c r="AL15" s="23">
        <v>1137.5999999999999</v>
      </c>
      <c r="AM15" s="23">
        <v>30.11</v>
      </c>
      <c r="AN15" s="23">
        <v>1.54</v>
      </c>
      <c r="AO15" s="23">
        <v>49.46</v>
      </c>
      <c r="AP15" s="23">
        <v>3.047625</v>
      </c>
      <c r="AQ15" s="23">
        <v>7.2</v>
      </c>
      <c r="AR15" s="23">
        <f t="shared" si="0"/>
        <v>113.06986099743261</v>
      </c>
      <c r="AS15" s="26">
        <v>8.5259999999999998</v>
      </c>
      <c r="AT15" s="26">
        <v>16.565999999999999</v>
      </c>
      <c r="AU15" s="26">
        <v>194.095</v>
      </c>
      <c r="AV15" s="26">
        <v>63.427999999999997</v>
      </c>
      <c r="AW15" s="26">
        <v>6.8049999999999997</v>
      </c>
      <c r="AX15" s="26">
        <v>5.2270000000000003</v>
      </c>
      <c r="AY15" s="26">
        <v>18.774999999999999</v>
      </c>
      <c r="AZ15" s="26">
        <v>45.643999999999998</v>
      </c>
      <c r="BA15" s="28">
        <v>111.09700054647996</v>
      </c>
      <c r="BB15" s="26">
        <v>771.02300000000002</v>
      </c>
      <c r="BC15" s="26">
        <v>197.87200000000001</v>
      </c>
      <c r="BD15" s="26">
        <v>146.51300000000001</v>
      </c>
      <c r="BE15" s="26">
        <v>97.9</v>
      </c>
      <c r="BF15" s="28">
        <v>112.03465179049167</v>
      </c>
      <c r="BG15" s="28">
        <v>169.0888542482561</v>
      </c>
      <c r="BH15" s="28">
        <v>52.154886078930126</v>
      </c>
      <c r="BI15" s="28">
        <v>44.65185886095442</v>
      </c>
      <c r="BJ15" s="28">
        <v>41.347252823566421</v>
      </c>
      <c r="BK15" s="26">
        <v>5.5147904519999999E-2</v>
      </c>
      <c r="BL15" s="18">
        <f t="shared" si="5"/>
        <v>3.8287467271726205</v>
      </c>
      <c r="BM15" s="18" t="s">
        <v>68</v>
      </c>
      <c r="BN15" s="28">
        <v>21.792993756668956</v>
      </c>
    </row>
    <row r="16" spans="1:66" ht="15.75" customHeight="1" x14ac:dyDescent="0.2">
      <c r="A16" s="12">
        <v>5</v>
      </c>
      <c r="B16" s="12" t="s">
        <v>71</v>
      </c>
      <c r="C16" s="7" t="s">
        <v>69</v>
      </c>
      <c r="D16" s="12">
        <v>3</v>
      </c>
      <c r="E16" s="13">
        <v>5.55</v>
      </c>
      <c r="F16" s="9">
        <v>2.46</v>
      </c>
      <c r="G16" s="29">
        <v>27.5</v>
      </c>
      <c r="H16" s="30" t="s">
        <v>68</v>
      </c>
      <c r="I16" s="30">
        <v>2214.5282804672311</v>
      </c>
      <c r="J16" s="30">
        <v>25473.948929646373</v>
      </c>
      <c r="K16" s="30">
        <v>9056.7581857568075</v>
      </c>
      <c r="L16" s="31">
        <v>2738.3602023251133</v>
      </c>
      <c r="M16" s="31">
        <v>2244.9416897344863</v>
      </c>
      <c r="N16" s="31">
        <v>9444.0414901103341</v>
      </c>
      <c r="O16" s="31">
        <v>17647.083051266098</v>
      </c>
      <c r="P16" s="24">
        <v>27.49232007090567</v>
      </c>
      <c r="Q16" s="24">
        <v>217.80973403627556</v>
      </c>
      <c r="R16" s="24">
        <v>35.185869047850375</v>
      </c>
      <c r="S16" s="24">
        <v>27.326474399183162</v>
      </c>
      <c r="T16" s="24">
        <v>17.631019825267881</v>
      </c>
      <c r="U16" s="25">
        <v>36.115350500838041</v>
      </c>
      <c r="V16" s="25">
        <v>76.295814445823453</v>
      </c>
      <c r="W16" s="25">
        <v>21.440558826082537</v>
      </c>
      <c r="X16" s="25">
        <v>20.669788321470946</v>
      </c>
      <c r="Y16" s="25" t="s">
        <v>68</v>
      </c>
      <c r="Z16" s="12">
        <v>9.5</v>
      </c>
      <c r="AA16" s="12">
        <v>13</v>
      </c>
      <c r="AB16" s="12">
        <v>15.5</v>
      </c>
      <c r="AC16" s="12">
        <v>24</v>
      </c>
      <c r="AD16" s="13">
        <v>26.5</v>
      </c>
      <c r="AE16" s="12">
        <v>40.6</v>
      </c>
      <c r="AF16" s="12">
        <v>43.5</v>
      </c>
      <c r="AG16" s="12">
        <v>39.6</v>
      </c>
      <c r="AH16" s="12">
        <v>38.200000000000003</v>
      </c>
      <c r="AI16" s="13">
        <v>33.299999999999997</v>
      </c>
      <c r="AJ16" s="16">
        <v>65.58</v>
      </c>
      <c r="AK16" s="16">
        <v>53.23</v>
      </c>
      <c r="AL16" s="16">
        <v>1386.39</v>
      </c>
      <c r="AM16" s="16">
        <v>30.44</v>
      </c>
      <c r="AN16" s="16">
        <v>1.51</v>
      </c>
      <c r="AO16" s="16">
        <v>71.239999999999995</v>
      </c>
      <c r="AP16" s="16">
        <v>3.6610519230768999</v>
      </c>
      <c r="AQ16" s="16">
        <v>7.2</v>
      </c>
      <c r="AR16" s="16">
        <f t="shared" si="0"/>
        <v>81.039663152939596</v>
      </c>
      <c r="AS16" s="17" t="s">
        <v>68</v>
      </c>
      <c r="AT16" s="17">
        <v>12.291</v>
      </c>
      <c r="AU16" s="17">
        <v>141.38</v>
      </c>
      <c r="AV16" s="17" t="s">
        <v>68</v>
      </c>
      <c r="AW16" s="17">
        <v>6.7359999999999998</v>
      </c>
      <c r="AX16" s="17">
        <v>5.5229999999999997</v>
      </c>
      <c r="AY16" s="17">
        <v>23.231999999999999</v>
      </c>
      <c r="AZ16" s="17">
        <v>43.411999999999999</v>
      </c>
      <c r="BA16" s="32" t="s">
        <v>68</v>
      </c>
      <c r="BB16" s="17">
        <v>1208.8440000000001</v>
      </c>
      <c r="BC16" s="17">
        <v>195.28200000000001</v>
      </c>
      <c r="BD16" s="17">
        <v>151.66200000000001</v>
      </c>
      <c r="BE16" s="17">
        <v>97.852000000000004</v>
      </c>
      <c r="BF16" s="32">
        <v>88.843762232061579</v>
      </c>
      <c r="BG16" s="32">
        <v>187.68770353672568</v>
      </c>
      <c r="BH16" s="32">
        <v>52.743774712163038</v>
      </c>
      <c r="BI16" s="32">
        <v>50.847679270818524</v>
      </c>
      <c r="BJ16" s="32">
        <v>43.933792389058119</v>
      </c>
      <c r="BK16" s="17" t="s">
        <v>68</v>
      </c>
      <c r="BL16" s="18">
        <f t="shared" si="5"/>
        <v>4.089700847643261</v>
      </c>
      <c r="BM16" s="18">
        <f t="shared" ref="BM16:BM17" si="7">O16/M16</f>
        <v>7.8608202306373727</v>
      </c>
      <c r="BN16" s="32">
        <v>17.813188513339966</v>
      </c>
    </row>
    <row r="17" spans="1:66" ht="15.75" customHeight="1" x14ac:dyDescent="0.2">
      <c r="A17" s="19">
        <v>6</v>
      </c>
      <c r="B17" s="33" t="s">
        <v>71</v>
      </c>
      <c r="C17" s="20" t="s">
        <v>70</v>
      </c>
      <c r="D17" s="6">
        <v>1</v>
      </c>
      <c r="E17" s="21">
        <v>6.09</v>
      </c>
      <c r="F17" s="22" t="s">
        <v>68</v>
      </c>
      <c r="G17" s="9" t="s">
        <v>68</v>
      </c>
      <c r="H17" s="34">
        <v>1730.7087129640595</v>
      </c>
      <c r="I17" s="34">
        <v>3062.4411176560261</v>
      </c>
      <c r="J17" s="34" t="s">
        <v>68</v>
      </c>
      <c r="K17" s="34">
        <v>10453.363727597829</v>
      </c>
      <c r="L17" s="35">
        <v>2868.2076963009235</v>
      </c>
      <c r="M17" s="35">
        <v>2216.0382982107235</v>
      </c>
      <c r="N17" s="35">
        <v>6254.1314998138914</v>
      </c>
      <c r="O17" s="35">
        <v>17439.35083524857</v>
      </c>
      <c r="P17" s="30">
        <v>17.771512427940106</v>
      </c>
      <c r="Q17" s="30" t="s">
        <v>68</v>
      </c>
      <c r="R17" s="30">
        <v>31.519383658078944</v>
      </c>
      <c r="S17" s="30" t="s">
        <v>68</v>
      </c>
      <c r="T17" s="30">
        <v>20.289215407965955</v>
      </c>
      <c r="U17" s="31">
        <v>38.812152808976847</v>
      </c>
      <c r="V17" s="31">
        <v>74.895592296824688</v>
      </c>
      <c r="W17" s="31">
        <v>18.135422151189733</v>
      </c>
      <c r="X17" s="31" t="s">
        <v>68</v>
      </c>
      <c r="Y17" s="31">
        <v>15.222484036574873</v>
      </c>
      <c r="Z17" s="19" t="s">
        <v>68</v>
      </c>
      <c r="AA17" s="19" t="s">
        <v>68</v>
      </c>
      <c r="AB17" s="19" t="s">
        <v>68</v>
      </c>
      <c r="AC17" s="19">
        <v>29</v>
      </c>
      <c r="AD17" s="21">
        <v>31</v>
      </c>
      <c r="AE17" s="19">
        <v>41.3</v>
      </c>
      <c r="AF17" s="19">
        <v>42.1</v>
      </c>
      <c r="AG17" s="19">
        <v>41</v>
      </c>
      <c r="AH17" s="19">
        <v>39.6</v>
      </c>
      <c r="AI17" s="21">
        <v>30.9</v>
      </c>
      <c r="AJ17" s="23">
        <v>70.38</v>
      </c>
      <c r="AK17" s="23">
        <v>53.81</v>
      </c>
      <c r="AL17" s="23">
        <v>1299.5</v>
      </c>
      <c r="AM17" s="23">
        <v>26.96</v>
      </c>
      <c r="AN17" s="23">
        <v>1.28</v>
      </c>
      <c r="AO17" s="23">
        <v>52.76</v>
      </c>
      <c r="AP17" s="23">
        <v>3.4300705128205</v>
      </c>
      <c r="AQ17" s="23">
        <v>7.3</v>
      </c>
      <c r="AR17" s="23" t="e">
        <f t="shared" si="0"/>
        <v>#VALUE!</v>
      </c>
      <c r="AS17" s="26">
        <v>10.54</v>
      </c>
      <c r="AT17" s="26">
        <v>18.649999999999999</v>
      </c>
      <c r="AU17" s="26">
        <v>221.131</v>
      </c>
      <c r="AV17" s="26" t="s">
        <v>68</v>
      </c>
      <c r="AW17" s="17" t="s">
        <v>68</v>
      </c>
      <c r="AX17" s="17">
        <v>7.6449999999999996</v>
      </c>
      <c r="AY17" s="17">
        <v>21.577000000000002</v>
      </c>
      <c r="AZ17" s="17" t="s">
        <v>68</v>
      </c>
      <c r="BA17" s="28" t="s">
        <v>68</v>
      </c>
      <c r="BB17" s="26">
        <v>793.02</v>
      </c>
      <c r="BC17" s="26">
        <v>191.953</v>
      </c>
      <c r="BD17" s="26">
        <v>138.70400000000001</v>
      </c>
      <c r="BE17" s="26">
        <v>123.56100000000001</v>
      </c>
      <c r="BF17" s="26" t="s">
        <v>68</v>
      </c>
      <c r="BG17" s="28" t="s">
        <v>68</v>
      </c>
      <c r="BH17" s="28">
        <v>62.567206421604581</v>
      </c>
      <c r="BI17" s="28">
        <v>64.802427810840015</v>
      </c>
      <c r="BJ17" s="28" t="s">
        <v>68</v>
      </c>
      <c r="BK17" s="26" t="s">
        <v>68</v>
      </c>
      <c r="BL17" s="18">
        <f t="shared" si="5"/>
        <v>3.4134088872209141</v>
      </c>
      <c r="BM17" s="18">
        <f t="shared" si="7"/>
        <v>7.869607149537746</v>
      </c>
      <c r="BN17" s="28">
        <v>26.295598535352195</v>
      </c>
    </row>
    <row r="18" spans="1:66" ht="15.75" customHeight="1" x14ac:dyDescent="0.2">
      <c r="A18" s="12">
        <v>6</v>
      </c>
      <c r="B18" s="12" t="s">
        <v>71</v>
      </c>
      <c r="C18" s="7" t="s">
        <v>70</v>
      </c>
      <c r="D18" s="19">
        <v>2</v>
      </c>
      <c r="E18" s="13" t="s">
        <v>68</v>
      </c>
      <c r="F18" s="9">
        <v>1.91</v>
      </c>
      <c r="G18" s="29">
        <v>21.6</v>
      </c>
      <c r="H18" s="30" t="s">
        <v>68</v>
      </c>
      <c r="I18" s="30" t="s">
        <v>68</v>
      </c>
      <c r="J18" s="30">
        <v>25184.547526253529</v>
      </c>
      <c r="K18" s="30">
        <v>10047.518944907009</v>
      </c>
      <c r="L18" s="31">
        <v>3114.9075671830506</v>
      </c>
      <c r="M18" s="31">
        <v>2547.3056577220182</v>
      </c>
      <c r="N18" s="31">
        <v>7016.8173159339585</v>
      </c>
      <c r="O18" s="31" t="s">
        <v>68</v>
      </c>
      <c r="P18" s="34">
        <v>26.681768283419554</v>
      </c>
      <c r="Q18" s="34">
        <v>153.48755532786694</v>
      </c>
      <c r="R18" s="34">
        <v>28.436307329404315</v>
      </c>
      <c r="S18" s="34">
        <v>30.93473662800255</v>
      </c>
      <c r="T18" s="34" t="s">
        <v>68</v>
      </c>
      <c r="U18" s="35">
        <v>43.277714655558299</v>
      </c>
      <c r="V18" s="35">
        <v>77.578314979762681</v>
      </c>
      <c r="W18" s="35">
        <v>23.04763009387333</v>
      </c>
      <c r="X18" s="35">
        <v>24.468189175047112</v>
      </c>
      <c r="Y18" s="35">
        <v>16.16219547911669</v>
      </c>
      <c r="Z18" s="12">
        <v>10</v>
      </c>
      <c r="AA18" s="12">
        <v>15</v>
      </c>
      <c r="AB18" s="12">
        <v>17.5</v>
      </c>
      <c r="AC18" s="12">
        <v>26.6</v>
      </c>
      <c r="AD18" s="13">
        <v>28</v>
      </c>
      <c r="AE18" s="12">
        <v>40.299999999999997</v>
      </c>
      <c r="AF18" s="12">
        <v>38</v>
      </c>
      <c r="AG18" s="12">
        <v>44.4</v>
      </c>
      <c r="AH18" s="12">
        <v>38</v>
      </c>
      <c r="AI18" s="13">
        <v>26.1</v>
      </c>
      <c r="AJ18" s="16">
        <v>86.18</v>
      </c>
      <c r="AK18" s="16">
        <v>57.6</v>
      </c>
      <c r="AL18" s="16">
        <v>1342</v>
      </c>
      <c r="AM18" s="16">
        <v>30.15</v>
      </c>
      <c r="AN18" s="16">
        <v>1.49</v>
      </c>
      <c r="AO18" s="16">
        <v>53.56</v>
      </c>
      <c r="AP18" s="16">
        <v>3.5544711538462002</v>
      </c>
      <c r="AQ18" s="16">
        <v>7.2</v>
      </c>
      <c r="AR18" s="16" t="e">
        <f t="shared" si="0"/>
        <v>#VALUE!</v>
      </c>
      <c r="AS18" s="17">
        <v>10.477</v>
      </c>
      <c r="AT18" s="17">
        <v>15.629</v>
      </c>
      <c r="AU18" s="17">
        <v>185.86199999999999</v>
      </c>
      <c r="AV18" s="17">
        <v>74.150999999999996</v>
      </c>
      <c r="AW18" s="17">
        <v>5.9489999999999998</v>
      </c>
      <c r="AX18" s="17">
        <v>4.8650000000000002</v>
      </c>
      <c r="AY18" s="17" t="s">
        <v>68</v>
      </c>
      <c r="AZ18" s="17">
        <v>42.098999999999997</v>
      </c>
      <c r="BA18" s="32">
        <v>196.9114499316363</v>
      </c>
      <c r="BB18" s="17">
        <v>1132.7380000000001</v>
      </c>
      <c r="BC18" s="17">
        <v>209.86</v>
      </c>
      <c r="BD18" s="17">
        <v>228.298</v>
      </c>
      <c r="BE18" s="17">
        <v>99.587000000000003</v>
      </c>
      <c r="BF18" s="32">
        <v>82.66043499211635</v>
      </c>
      <c r="BG18" s="32">
        <v>148.17458161134672</v>
      </c>
      <c r="BH18" s="32">
        <v>44.020973479298057</v>
      </c>
      <c r="BI18" s="32">
        <v>46.734241324339983</v>
      </c>
      <c r="BJ18" s="32">
        <v>30.869793365112876</v>
      </c>
      <c r="BK18" s="17">
        <v>4.500415587E-2</v>
      </c>
      <c r="BL18" s="18" t="s">
        <v>68</v>
      </c>
      <c r="BM18" s="18" t="s">
        <v>68</v>
      </c>
      <c r="BN18" s="32">
        <v>20.494248654130196</v>
      </c>
    </row>
    <row r="19" spans="1:66" ht="15.75" customHeight="1" x14ac:dyDescent="0.2">
      <c r="A19" s="19">
        <v>6</v>
      </c>
      <c r="B19" s="19" t="s">
        <v>71</v>
      </c>
      <c r="C19" s="20" t="s">
        <v>70</v>
      </c>
      <c r="D19" s="12">
        <v>3</v>
      </c>
      <c r="E19" s="21">
        <v>5.67</v>
      </c>
      <c r="F19" s="22">
        <v>2.0099999999999998</v>
      </c>
      <c r="G19" s="23">
        <v>22.3</v>
      </c>
      <c r="H19" s="24">
        <v>1889.5556354399305</v>
      </c>
      <c r="I19" s="24">
        <v>2969.6992827089407</v>
      </c>
      <c r="J19" s="24">
        <v>27863.782441538689</v>
      </c>
      <c r="K19" s="24" t="s">
        <v>68</v>
      </c>
      <c r="L19" s="25" t="s">
        <v>68</v>
      </c>
      <c r="M19" s="25" t="s">
        <v>68</v>
      </c>
      <c r="N19" s="25" t="s">
        <v>68</v>
      </c>
      <c r="O19" s="25">
        <v>21010.68296955698</v>
      </c>
      <c r="P19" s="30" t="s">
        <v>68</v>
      </c>
      <c r="Q19" s="30">
        <v>149.06781556046218</v>
      </c>
      <c r="R19" s="30" t="s">
        <v>68</v>
      </c>
      <c r="S19" s="30">
        <v>28.257363373436277</v>
      </c>
      <c r="T19" s="30">
        <v>23.645697688004333</v>
      </c>
      <c r="U19" s="31">
        <v>49.57774752760416</v>
      </c>
      <c r="V19" s="31" t="s">
        <v>68</v>
      </c>
      <c r="W19" s="31">
        <v>28.527637751159638</v>
      </c>
      <c r="X19" s="31">
        <v>22.923838612264785</v>
      </c>
      <c r="Y19" s="31">
        <v>15.233778972537507</v>
      </c>
      <c r="Z19" s="19">
        <v>10</v>
      </c>
      <c r="AA19" s="19">
        <v>15.5</v>
      </c>
      <c r="AB19" s="19">
        <v>17</v>
      </c>
      <c r="AC19" s="19">
        <v>23</v>
      </c>
      <c r="AD19" s="21">
        <v>27</v>
      </c>
      <c r="AE19" s="19">
        <v>39.299999999999997</v>
      </c>
      <c r="AF19" s="19">
        <v>41.9</v>
      </c>
      <c r="AG19" s="19">
        <v>43.1</v>
      </c>
      <c r="AH19" s="19" t="s">
        <v>68</v>
      </c>
      <c r="AI19" s="21" t="s">
        <v>68</v>
      </c>
      <c r="AJ19" s="23">
        <v>81.88</v>
      </c>
      <c r="AK19" s="23">
        <v>62.69</v>
      </c>
      <c r="AL19" s="23">
        <v>1429.54</v>
      </c>
      <c r="AM19" s="23">
        <v>32.200000000000003</v>
      </c>
      <c r="AN19" s="23">
        <v>1.78</v>
      </c>
      <c r="AO19" s="23">
        <v>73.09</v>
      </c>
      <c r="AP19" s="23">
        <v>3.7883884615385002</v>
      </c>
      <c r="AQ19" s="23">
        <v>7</v>
      </c>
      <c r="AR19" s="23">
        <f t="shared" si="0"/>
        <v>105.09470552729088</v>
      </c>
      <c r="AS19" s="26">
        <v>10.714</v>
      </c>
      <c r="AT19" s="26">
        <v>16.838000000000001</v>
      </c>
      <c r="AU19" s="26">
        <v>157.988</v>
      </c>
      <c r="AV19" s="26">
        <v>71.210999999999999</v>
      </c>
      <c r="AW19" s="26">
        <v>8.0329999999999995</v>
      </c>
      <c r="AX19" s="26">
        <v>5.7069999999999999</v>
      </c>
      <c r="AY19" s="26">
        <v>20.954999999999998</v>
      </c>
      <c r="AZ19" s="26">
        <v>42.231000000000002</v>
      </c>
      <c r="BA19" s="28">
        <v>250.18187117366276</v>
      </c>
      <c r="BB19" s="26">
        <v>845.21500000000003</v>
      </c>
      <c r="BC19" s="26">
        <v>231.328</v>
      </c>
      <c r="BD19" s="26">
        <v>160.21899999999999</v>
      </c>
      <c r="BE19" s="26">
        <v>134.071</v>
      </c>
      <c r="BF19" s="28">
        <v>99.651272530484349</v>
      </c>
      <c r="BG19" s="28">
        <v>185.59004400193123</v>
      </c>
      <c r="BH19" s="28">
        <v>57.340551879830869</v>
      </c>
      <c r="BI19" s="28">
        <v>46.076915610652215</v>
      </c>
      <c r="BJ19" s="28">
        <v>30.619895734800387</v>
      </c>
      <c r="BK19" s="26">
        <v>5.1360989039999999E-2</v>
      </c>
      <c r="BL19" s="18" t="s">
        <v>68</v>
      </c>
      <c r="BM19" s="18" t="s">
        <v>68</v>
      </c>
      <c r="BN19" s="28">
        <v>22.545102024238602</v>
      </c>
    </row>
    <row r="20" spans="1:66" ht="15.75" customHeight="1" x14ac:dyDescent="0.2">
      <c r="A20" s="12">
        <v>7</v>
      </c>
      <c r="B20" s="6" t="s">
        <v>72</v>
      </c>
      <c r="C20" s="7" t="s">
        <v>67</v>
      </c>
      <c r="D20" s="6">
        <v>1</v>
      </c>
      <c r="E20" s="13">
        <v>4.04</v>
      </c>
      <c r="F20" s="9">
        <v>1.42</v>
      </c>
      <c r="G20" s="29">
        <v>16.899999999999999</v>
      </c>
      <c r="H20" s="10">
        <v>1434.8620913649072</v>
      </c>
      <c r="I20" s="10" t="s">
        <v>68</v>
      </c>
      <c r="J20" s="10" t="s">
        <v>68</v>
      </c>
      <c r="K20" s="10" t="s">
        <v>68</v>
      </c>
      <c r="L20" s="11" t="s">
        <v>68</v>
      </c>
      <c r="M20" s="11" t="s">
        <v>68</v>
      </c>
      <c r="N20" s="11">
        <v>8307.6104496321441</v>
      </c>
      <c r="O20" s="11">
        <v>21506.426310025869</v>
      </c>
      <c r="P20" s="24" t="s">
        <v>68</v>
      </c>
      <c r="Q20" s="24">
        <v>111.73512056056535</v>
      </c>
      <c r="R20" s="24">
        <v>28.302003381937269</v>
      </c>
      <c r="S20" s="24" t="s">
        <v>68</v>
      </c>
      <c r="T20" s="24">
        <v>18.834978405346693</v>
      </c>
      <c r="U20" s="25">
        <v>38.966647470650379</v>
      </c>
      <c r="V20" s="25">
        <v>60.492990996747906</v>
      </c>
      <c r="W20" s="25">
        <v>23.181644744415731</v>
      </c>
      <c r="X20" s="25">
        <v>17.258301500641995</v>
      </c>
      <c r="Y20" s="25">
        <v>17.759628880883064</v>
      </c>
      <c r="Z20" s="12">
        <v>8</v>
      </c>
      <c r="AA20" s="12">
        <v>13.5</v>
      </c>
      <c r="AB20" s="12">
        <v>15</v>
      </c>
      <c r="AC20" s="12">
        <v>22</v>
      </c>
      <c r="AD20" s="13">
        <v>25</v>
      </c>
      <c r="AE20" s="12">
        <v>46.9</v>
      </c>
      <c r="AF20" s="12">
        <v>41.2</v>
      </c>
      <c r="AG20" s="12">
        <v>45.6</v>
      </c>
      <c r="AH20" s="12">
        <v>44.5</v>
      </c>
      <c r="AI20" s="13">
        <v>39.9</v>
      </c>
      <c r="AJ20" s="16">
        <v>37.78</v>
      </c>
      <c r="AK20" s="16">
        <v>44.41</v>
      </c>
      <c r="AL20" s="16">
        <v>1302.3900000000001</v>
      </c>
      <c r="AM20" s="16">
        <v>79.900000000000006</v>
      </c>
      <c r="AN20" s="16">
        <v>0.85</v>
      </c>
      <c r="AO20" s="16">
        <v>104.01</v>
      </c>
      <c r="AP20" s="16">
        <v>3.6458275641025999</v>
      </c>
      <c r="AQ20" s="16">
        <v>7.1</v>
      </c>
      <c r="AR20" s="16" t="e">
        <f t="shared" si="0"/>
        <v>#VALUE!</v>
      </c>
      <c r="AS20" s="17">
        <v>5.7969999999999997</v>
      </c>
      <c r="AT20" s="17">
        <v>18.079999999999998</v>
      </c>
      <c r="AU20" s="17">
        <v>131.72900000000001</v>
      </c>
      <c r="AV20" s="17">
        <v>74.578000000000003</v>
      </c>
      <c r="AW20" s="17">
        <v>3.48</v>
      </c>
      <c r="AX20" s="17">
        <v>4.157</v>
      </c>
      <c r="AY20" s="17">
        <v>11.797000000000001</v>
      </c>
      <c r="AZ20" s="17">
        <v>30.539000000000001</v>
      </c>
      <c r="BA20" s="32">
        <v>74.073622427649568</v>
      </c>
      <c r="BB20" s="17">
        <v>451.41</v>
      </c>
      <c r="BC20" s="17">
        <v>114.34</v>
      </c>
      <c r="BD20" s="17">
        <v>93.468999999999994</v>
      </c>
      <c r="BE20" s="17">
        <v>76.093000000000004</v>
      </c>
      <c r="BF20" s="32">
        <v>55.332639408323537</v>
      </c>
      <c r="BG20" s="32">
        <v>85.900047215382017</v>
      </c>
      <c r="BH20" s="32">
        <v>32.917935537070335</v>
      </c>
      <c r="BI20" s="32">
        <v>24.50678813091163</v>
      </c>
      <c r="BJ20" s="32">
        <v>25.218673010853948</v>
      </c>
      <c r="BK20" s="17">
        <v>4.8567517310000002E-2</v>
      </c>
      <c r="BL20" s="18" t="s">
        <v>68</v>
      </c>
      <c r="BM20" s="18" t="s">
        <v>68</v>
      </c>
      <c r="BN20" s="32">
        <v>22.237066744840305</v>
      </c>
    </row>
    <row r="21" spans="1:66" ht="15.75" customHeight="1" x14ac:dyDescent="0.2">
      <c r="A21" s="19">
        <v>7</v>
      </c>
      <c r="B21" s="19" t="s">
        <v>72</v>
      </c>
      <c r="C21" s="20" t="s">
        <v>67</v>
      </c>
      <c r="D21" s="19">
        <v>2</v>
      </c>
      <c r="E21" s="21">
        <v>3.98</v>
      </c>
      <c r="F21" s="22">
        <v>1.3</v>
      </c>
      <c r="G21" s="23">
        <v>14.6</v>
      </c>
      <c r="H21" s="24">
        <v>1319.1560585248071</v>
      </c>
      <c r="I21" s="24">
        <v>3438.9496760517777</v>
      </c>
      <c r="J21" s="24">
        <v>28344.728706805956</v>
      </c>
      <c r="K21" s="24">
        <v>16253.979164190539</v>
      </c>
      <c r="L21" s="25">
        <v>2795.8732089278365</v>
      </c>
      <c r="M21" s="25">
        <v>2854.4649028639628</v>
      </c>
      <c r="N21" s="25">
        <v>8378.4302764136646</v>
      </c>
      <c r="O21" s="25">
        <v>21711.080426343095</v>
      </c>
      <c r="P21" s="10">
        <v>24.705308238922989</v>
      </c>
      <c r="Q21" s="10" t="s">
        <v>68</v>
      </c>
      <c r="R21" s="10">
        <v>28.281064786950999</v>
      </c>
      <c r="S21" s="10">
        <v>29.825385535311643</v>
      </c>
      <c r="T21" s="10">
        <v>18.984015327741954</v>
      </c>
      <c r="U21" s="11">
        <v>43.908452299817867</v>
      </c>
      <c r="V21" s="11">
        <v>66.879477127572159</v>
      </c>
      <c r="W21" s="11">
        <v>23.168952493146367</v>
      </c>
      <c r="X21" s="11">
        <v>18.702920323355929</v>
      </c>
      <c r="Y21" s="11">
        <v>15.417831287278828</v>
      </c>
      <c r="Z21" s="19">
        <v>9</v>
      </c>
      <c r="AA21" s="19">
        <v>12</v>
      </c>
      <c r="AB21" s="19" t="s">
        <v>68</v>
      </c>
      <c r="AC21" s="19">
        <v>21</v>
      </c>
      <c r="AD21" s="21">
        <v>27</v>
      </c>
      <c r="AE21" s="19">
        <v>43.6</v>
      </c>
      <c r="AF21" s="19">
        <v>42.8</v>
      </c>
      <c r="AG21" s="19">
        <v>44</v>
      </c>
      <c r="AH21" s="19">
        <v>43.6</v>
      </c>
      <c r="AI21" s="21">
        <v>37.6</v>
      </c>
      <c r="AJ21" s="23">
        <v>40.71</v>
      </c>
      <c r="AK21" s="23">
        <v>59.64</v>
      </c>
      <c r="AL21" s="23">
        <v>1106.3599999999999</v>
      </c>
      <c r="AM21" s="23">
        <v>70.569999999999993</v>
      </c>
      <c r="AN21" s="23">
        <v>1.22</v>
      </c>
      <c r="AO21" s="23">
        <v>60.39</v>
      </c>
      <c r="AP21" s="23">
        <v>3.1364032051281998</v>
      </c>
      <c r="AQ21" s="23">
        <v>7.4</v>
      </c>
      <c r="AR21" s="23">
        <f t="shared" si="0"/>
        <v>115.30277360472834</v>
      </c>
      <c r="AS21" s="26">
        <v>5.25</v>
      </c>
      <c r="AT21" s="26">
        <v>13.686999999999999</v>
      </c>
      <c r="AU21" s="26">
        <v>112.812</v>
      </c>
      <c r="AV21" s="26">
        <v>64.691000000000003</v>
      </c>
      <c r="AW21" s="26">
        <v>3.6349999999999998</v>
      </c>
      <c r="AX21" s="26">
        <v>3.7109999999999999</v>
      </c>
      <c r="AY21" s="26">
        <v>10.891999999999999</v>
      </c>
      <c r="AZ21" s="26">
        <v>28.224</v>
      </c>
      <c r="BA21" s="28">
        <v>98.327126790913496</v>
      </c>
      <c r="BB21" s="26">
        <v>501.41899999999998</v>
      </c>
      <c r="BC21" s="26">
        <v>112.559</v>
      </c>
      <c r="BD21" s="26">
        <v>118.705</v>
      </c>
      <c r="BE21" s="26">
        <v>75.555999999999997</v>
      </c>
      <c r="BF21" s="28">
        <v>57.08098798976323</v>
      </c>
      <c r="BG21" s="28">
        <v>86.943320265843809</v>
      </c>
      <c r="BH21" s="28">
        <v>30.119638241090279</v>
      </c>
      <c r="BI21" s="28">
        <v>24.31379642036271</v>
      </c>
      <c r="BJ21" s="28">
        <v>20.043180673462476</v>
      </c>
      <c r="BK21" s="26">
        <v>4.6517676879999997E-2</v>
      </c>
      <c r="BL21" s="18">
        <f t="shared" ref="BL21:BL22" si="8">K21/I21</f>
        <v>4.7264370506437778</v>
      </c>
      <c r="BM21" s="18">
        <f t="shared" ref="BM21:BM23" si="9">O21/M21</f>
        <v>7.6060071379962571</v>
      </c>
      <c r="BN21" s="28">
        <v>17.39782408440923</v>
      </c>
    </row>
    <row r="22" spans="1:66" ht="15.75" customHeight="1" x14ac:dyDescent="0.2">
      <c r="A22" s="12">
        <v>7</v>
      </c>
      <c r="B22" s="12" t="s">
        <v>72</v>
      </c>
      <c r="C22" s="7" t="s">
        <v>67</v>
      </c>
      <c r="D22" s="12">
        <v>3</v>
      </c>
      <c r="E22" s="13">
        <v>3.15</v>
      </c>
      <c r="F22" s="9">
        <v>1.1000000000000001</v>
      </c>
      <c r="G22" s="29">
        <v>12.3</v>
      </c>
      <c r="H22" s="30">
        <v>1354.6830352674551</v>
      </c>
      <c r="I22" s="30">
        <v>3482.2814717188362</v>
      </c>
      <c r="J22" s="30">
        <v>29556.833861816263</v>
      </c>
      <c r="K22" s="30">
        <v>15983.343050137288</v>
      </c>
      <c r="L22" s="31">
        <v>2861.1146272019232</v>
      </c>
      <c r="M22" s="31">
        <v>2797.7752743860669</v>
      </c>
      <c r="N22" s="31">
        <v>8513.8343922411332</v>
      </c>
      <c r="O22" s="31">
        <v>23401.830676333804</v>
      </c>
      <c r="P22" s="24">
        <v>26.162782161411755</v>
      </c>
      <c r="Q22" s="24">
        <v>108.82740298605341</v>
      </c>
      <c r="R22" s="24" t="s">
        <v>68</v>
      </c>
      <c r="S22" s="24">
        <v>28.684338860361255</v>
      </c>
      <c r="T22" s="24">
        <v>18.92553826860356</v>
      </c>
      <c r="U22" s="25">
        <v>36.251235190437008</v>
      </c>
      <c r="V22" s="25">
        <v>63.046063300095852</v>
      </c>
      <c r="W22" s="25" t="s">
        <v>68</v>
      </c>
      <c r="X22" s="25">
        <v>19.943015514556553</v>
      </c>
      <c r="Y22" s="25">
        <v>14.829028715747109</v>
      </c>
      <c r="Z22" s="12">
        <v>10</v>
      </c>
      <c r="AA22" s="12">
        <v>16</v>
      </c>
      <c r="AB22" s="12">
        <v>16.600000000000001</v>
      </c>
      <c r="AC22" s="12">
        <v>18</v>
      </c>
      <c r="AD22" s="13">
        <v>24</v>
      </c>
      <c r="AE22" s="12">
        <v>43.1</v>
      </c>
      <c r="AF22" s="12">
        <v>45.6</v>
      </c>
      <c r="AG22" s="12">
        <v>45.8</v>
      </c>
      <c r="AH22" s="12">
        <v>42.2</v>
      </c>
      <c r="AI22" s="13">
        <v>41.4</v>
      </c>
      <c r="AJ22" s="16">
        <v>54.28</v>
      </c>
      <c r="AK22" s="16">
        <v>101.45</v>
      </c>
      <c r="AL22" s="16">
        <v>1215.1500000000001</v>
      </c>
      <c r="AM22" s="16">
        <v>96.33</v>
      </c>
      <c r="AN22" s="16">
        <v>1.99</v>
      </c>
      <c r="AO22" s="16">
        <v>59.8</v>
      </c>
      <c r="AP22" s="16">
        <v>3.5693141025641002</v>
      </c>
      <c r="AQ22" s="16">
        <v>7</v>
      </c>
      <c r="AR22" s="16">
        <f t="shared" si="0"/>
        <v>121.40009531580955</v>
      </c>
      <c r="AS22" s="17">
        <v>4.2670000000000003</v>
      </c>
      <c r="AT22" s="17">
        <v>10.968999999999999</v>
      </c>
      <c r="AU22" s="17">
        <v>93.103999999999999</v>
      </c>
      <c r="AV22" s="17" t="s">
        <v>68</v>
      </c>
      <c r="AW22" s="17">
        <v>3.1469999999999998</v>
      </c>
      <c r="AX22" s="17" t="s">
        <v>68</v>
      </c>
      <c r="AY22" s="17" t="s">
        <v>68</v>
      </c>
      <c r="AZ22" s="17">
        <v>25.742000000000001</v>
      </c>
      <c r="BA22" s="32">
        <v>82.412763808447025</v>
      </c>
      <c r="BB22" s="17">
        <v>342.80599999999998</v>
      </c>
      <c r="BC22" s="17">
        <v>137.02000000000001</v>
      </c>
      <c r="BD22" s="17">
        <v>90.355999999999995</v>
      </c>
      <c r="BE22" s="17">
        <v>59.615000000000002</v>
      </c>
      <c r="BF22" s="32">
        <v>39.876358709480712</v>
      </c>
      <c r="BG22" s="32">
        <v>69.350669630105443</v>
      </c>
      <c r="BH22" s="32">
        <v>28.676589812754017</v>
      </c>
      <c r="BI22" s="32">
        <v>21.937317066012209</v>
      </c>
      <c r="BJ22" s="32">
        <v>16.311931587321823</v>
      </c>
      <c r="BK22" s="17">
        <v>3.8819254720000002E-2</v>
      </c>
      <c r="BL22" s="18">
        <f t="shared" si="8"/>
        <v>4.589905548975624</v>
      </c>
      <c r="BM22" s="18">
        <f t="shared" si="9"/>
        <v>8.3644425950075671</v>
      </c>
      <c r="BN22" s="32">
        <v>14.046739437739006</v>
      </c>
    </row>
    <row r="23" spans="1:66" ht="15.75" customHeight="1" x14ac:dyDescent="0.2">
      <c r="A23" s="19">
        <v>8</v>
      </c>
      <c r="B23" s="33" t="s">
        <v>72</v>
      </c>
      <c r="C23" s="20" t="s">
        <v>69</v>
      </c>
      <c r="D23" s="6">
        <v>1</v>
      </c>
      <c r="E23" s="21">
        <v>5.73</v>
      </c>
      <c r="F23" s="22">
        <v>1.75</v>
      </c>
      <c r="G23" s="23">
        <v>19.399999999999999</v>
      </c>
      <c r="H23" s="34">
        <v>1885.0945395899214</v>
      </c>
      <c r="I23" s="34">
        <v>4486.7060155933996</v>
      </c>
      <c r="J23" s="34">
        <v>32855.117418187125</v>
      </c>
      <c r="K23" s="34" t="s">
        <v>68</v>
      </c>
      <c r="L23" s="35">
        <v>3158.5891950292735</v>
      </c>
      <c r="M23" s="35">
        <v>2914.3560643361357</v>
      </c>
      <c r="N23" s="35">
        <v>7272.0789896820243</v>
      </c>
      <c r="O23" s="35">
        <v>21548.314344219965</v>
      </c>
      <c r="P23" s="30" t="s">
        <v>68</v>
      </c>
      <c r="Q23" s="30">
        <v>152.4329788602447</v>
      </c>
      <c r="R23" s="30" t="s">
        <v>68</v>
      </c>
      <c r="S23" s="30">
        <v>28.957389032514044</v>
      </c>
      <c r="T23" s="30">
        <v>17.369691891617155</v>
      </c>
      <c r="U23" s="31">
        <v>35.708263378284187</v>
      </c>
      <c r="V23" s="31">
        <v>73.953718682781812</v>
      </c>
      <c r="W23" s="31">
        <v>19.632726109067587</v>
      </c>
      <c r="X23" s="31">
        <v>19.266697204839403</v>
      </c>
      <c r="Y23" s="31">
        <v>15.121373637422307</v>
      </c>
      <c r="Z23" s="19">
        <v>11.5</v>
      </c>
      <c r="AA23" s="19">
        <v>16</v>
      </c>
      <c r="AB23" s="19">
        <v>19</v>
      </c>
      <c r="AC23" s="19">
        <v>23.5</v>
      </c>
      <c r="AD23" s="21">
        <v>26</v>
      </c>
      <c r="AE23" s="19">
        <v>44.5</v>
      </c>
      <c r="AF23" s="19">
        <v>39.6</v>
      </c>
      <c r="AG23" s="19">
        <v>42.7</v>
      </c>
      <c r="AH23" s="19">
        <v>42.3</v>
      </c>
      <c r="AI23" s="21">
        <v>35</v>
      </c>
      <c r="AJ23" s="23">
        <v>48.09</v>
      </c>
      <c r="AK23" s="23">
        <v>51.39</v>
      </c>
      <c r="AL23" s="23">
        <v>1206.6199999999999</v>
      </c>
      <c r="AM23" s="23">
        <v>69.97</v>
      </c>
      <c r="AN23" s="23">
        <v>1.51</v>
      </c>
      <c r="AO23" s="23">
        <v>84.19</v>
      </c>
      <c r="AP23" s="23">
        <v>3.3739762820513</v>
      </c>
      <c r="AQ23" s="23">
        <v>7</v>
      </c>
      <c r="AR23" s="23">
        <f t="shared" si="0"/>
        <v>154.94166309523348</v>
      </c>
      <c r="AS23" s="26">
        <v>10.802</v>
      </c>
      <c r="AT23" s="26">
        <v>25.709</v>
      </c>
      <c r="AU23" s="26">
        <v>188.26</v>
      </c>
      <c r="AV23" s="26" t="s">
        <v>68</v>
      </c>
      <c r="AW23" s="26">
        <v>5.5279999999999996</v>
      </c>
      <c r="AX23" s="26">
        <v>5.0999999999999996</v>
      </c>
      <c r="AY23" s="26">
        <v>12.726000000000001</v>
      </c>
      <c r="AZ23" s="26">
        <v>37.71</v>
      </c>
      <c r="BA23" s="28">
        <v>104.8863633280783</v>
      </c>
      <c r="BB23" s="26">
        <v>873.44100000000003</v>
      </c>
      <c r="BC23" s="26">
        <v>161.03700000000001</v>
      </c>
      <c r="BD23" s="26">
        <v>165.92599999999999</v>
      </c>
      <c r="BE23" s="26">
        <v>99.528000000000006</v>
      </c>
      <c r="BF23" s="28">
        <v>62.489460911997327</v>
      </c>
      <c r="BG23" s="28">
        <v>129.41900769486818</v>
      </c>
      <c r="BH23" s="28">
        <v>34.357270690868276</v>
      </c>
      <c r="BI23" s="28">
        <v>33.716720108468955</v>
      </c>
      <c r="BJ23" s="28">
        <v>26.462403865489037</v>
      </c>
      <c r="BK23" s="26">
        <v>5.8737851809999998E-2</v>
      </c>
      <c r="BL23" s="18" t="s">
        <v>68</v>
      </c>
      <c r="BM23" s="18">
        <f t="shared" si="9"/>
        <v>7.3938509463250774</v>
      </c>
      <c r="BN23" s="28">
        <v>30.808948581938417</v>
      </c>
    </row>
    <row r="24" spans="1:66" ht="15.75" customHeight="1" x14ac:dyDescent="0.2">
      <c r="A24" s="12">
        <v>8</v>
      </c>
      <c r="B24" s="12" t="s">
        <v>72</v>
      </c>
      <c r="C24" s="7" t="s">
        <v>69</v>
      </c>
      <c r="D24" s="19">
        <v>2</v>
      </c>
      <c r="E24" s="13">
        <v>5.82</v>
      </c>
      <c r="F24" s="9">
        <v>2.35</v>
      </c>
      <c r="G24" s="29">
        <v>25.5</v>
      </c>
      <c r="H24" s="30">
        <v>1382.8218287722266</v>
      </c>
      <c r="I24" s="30">
        <v>3704.3012120437761</v>
      </c>
      <c r="J24" s="30">
        <v>29104.003917158512</v>
      </c>
      <c r="K24" s="30">
        <v>10366.136502782494</v>
      </c>
      <c r="L24" s="31">
        <v>2870.020140914115</v>
      </c>
      <c r="M24" s="31" t="s">
        <v>68</v>
      </c>
      <c r="N24" s="31" t="s">
        <v>68</v>
      </c>
      <c r="O24" s="31">
        <v>18293.044728235614</v>
      </c>
      <c r="P24" s="34">
        <v>23.429878230016723</v>
      </c>
      <c r="Q24" s="34">
        <v>153.25117983301917</v>
      </c>
      <c r="R24" s="34">
        <v>32.537093530984286</v>
      </c>
      <c r="S24" s="34">
        <v>27.486818383790407</v>
      </c>
      <c r="T24" s="34">
        <v>16.73214864799937</v>
      </c>
      <c r="U24" s="35" t="s">
        <v>68</v>
      </c>
      <c r="V24" s="35">
        <v>70.714514416536844</v>
      </c>
      <c r="W24" s="35">
        <v>21.248130768560202</v>
      </c>
      <c r="X24" s="35">
        <v>19.043471137573459</v>
      </c>
      <c r="Y24" s="35">
        <v>13.398366961578265</v>
      </c>
      <c r="Z24" s="12">
        <v>11</v>
      </c>
      <c r="AA24" s="12">
        <v>16.5</v>
      </c>
      <c r="AB24" s="12">
        <v>16.5</v>
      </c>
      <c r="AC24" s="12">
        <v>23</v>
      </c>
      <c r="AD24" s="13">
        <v>28</v>
      </c>
      <c r="AE24" s="12">
        <v>44.7</v>
      </c>
      <c r="AF24" s="12" t="s">
        <v>68</v>
      </c>
      <c r="AG24" s="12">
        <v>46.4</v>
      </c>
      <c r="AH24" s="12">
        <v>44.1</v>
      </c>
      <c r="AI24" s="13">
        <v>38.6</v>
      </c>
      <c r="AJ24" s="16">
        <v>61.85</v>
      </c>
      <c r="AK24" s="16">
        <v>64.150000000000006</v>
      </c>
      <c r="AL24" s="16">
        <v>1289.4000000000001</v>
      </c>
      <c r="AM24" s="16">
        <v>92.51</v>
      </c>
      <c r="AN24" s="16">
        <v>1.78</v>
      </c>
      <c r="AO24" s="16">
        <v>70.52</v>
      </c>
      <c r="AP24" s="16">
        <v>3.6912019230769002</v>
      </c>
      <c r="AQ24" s="16">
        <v>7.3</v>
      </c>
      <c r="AR24" s="16">
        <f t="shared" si="0"/>
        <v>134.76646006539212</v>
      </c>
      <c r="AS24" s="17">
        <v>8.048</v>
      </c>
      <c r="AT24" s="17">
        <v>21.559000000000001</v>
      </c>
      <c r="AU24" s="17">
        <v>169.38499999999999</v>
      </c>
      <c r="AV24" s="17">
        <v>60.331000000000003</v>
      </c>
      <c r="AW24" s="17">
        <v>6.7450000000000001</v>
      </c>
      <c r="AX24" s="17">
        <v>6.1509999999999998</v>
      </c>
      <c r="AY24" s="17">
        <v>14.372</v>
      </c>
      <c r="AZ24" s="17">
        <v>42.988999999999997</v>
      </c>
      <c r="BA24" s="32">
        <v>136.36189129869734</v>
      </c>
      <c r="BB24" s="17">
        <v>891.92200000000003</v>
      </c>
      <c r="BC24" s="17">
        <v>189.36600000000001</v>
      </c>
      <c r="BD24" s="17">
        <v>159.97300000000001</v>
      </c>
      <c r="BE24" s="17">
        <v>97.381</v>
      </c>
      <c r="BF24" s="32" t="s">
        <v>68</v>
      </c>
      <c r="BG24" s="32">
        <v>166.1791088788616</v>
      </c>
      <c r="BH24" s="32">
        <v>49.933107306116476</v>
      </c>
      <c r="BI24" s="32">
        <v>44.752157173297633</v>
      </c>
      <c r="BJ24" s="32">
        <v>31.486162359708924</v>
      </c>
      <c r="BK24" s="17">
        <v>5.3210684799999998E-2</v>
      </c>
      <c r="BL24" s="18">
        <f>K24/I24</f>
        <v>2.7984053966991471</v>
      </c>
      <c r="BM24" s="18" t="s">
        <v>68</v>
      </c>
      <c r="BN24" s="32">
        <v>27.710093528101833</v>
      </c>
    </row>
    <row r="25" spans="1:66" ht="15.75" customHeight="1" x14ac:dyDescent="0.2">
      <c r="A25" s="19">
        <v>8</v>
      </c>
      <c r="B25" s="19" t="s">
        <v>72</v>
      </c>
      <c r="C25" s="20" t="s">
        <v>69</v>
      </c>
      <c r="D25" s="12">
        <v>3</v>
      </c>
      <c r="E25" s="21">
        <v>4.66</v>
      </c>
      <c r="F25" s="22">
        <v>1.69</v>
      </c>
      <c r="G25" s="23">
        <v>18.600000000000001</v>
      </c>
      <c r="H25" s="24">
        <v>1484.1743103188671</v>
      </c>
      <c r="I25" s="24" t="s">
        <v>68</v>
      </c>
      <c r="J25" s="24">
        <v>24569.719507117079</v>
      </c>
      <c r="K25" s="24">
        <v>11971.31534171167</v>
      </c>
      <c r="L25" s="25">
        <v>3007.2856285567977</v>
      </c>
      <c r="M25" s="25">
        <v>2862.7253197440286</v>
      </c>
      <c r="N25" s="25">
        <v>8157.4618329637251</v>
      </c>
      <c r="O25" s="25">
        <v>20652.266935992451</v>
      </c>
      <c r="P25" s="30">
        <v>26.583489681864165</v>
      </c>
      <c r="Q25" s="30" t="s">
        <v>68</v>
      </c>
      <c r="R25" s="30">
        <v>33.855587166119314</v>
      </c>
      <c r="S25" s="30" t="s">
        <v>68</v>
      </c>
      <c r="T25" s="30">
        <v>15.825740696457604</v>
      </c>
      <c r="U25" s="31">
        <v>41.212467970472417</v>
      </c>
      <c r="V25" s="31">
        <v>67.465877437936726</v>
      </c>
      <c r="W25" s="31">
        <v>20.045120392049384</v>
      </c>
      <c r="X25" s="31">
        <v>18.613491524364132</v>
      </c>
      <c r="Y25" s="31">
        <v>14.765695935792483</v>
      </c>
      <c r="Z25" s="19" t="s">
        <v>68</v>
      </c>
      <c r="AA25" s="19" t="s">
        <v>68</v>
      </c>
      <c r="AB25" s="19">
        <v>17</v>
      </c>
      <c r="AC25" s="19">
        <v>23.5</v>
      </c>
      <c r="AD25" s="21">
        <v>27.5</v>
      </c>
      <c r="AE25" s="19">
        <v>43.2</v>
      </c>
      <c r="AF25" s="19">
        <v>41.5</v>
      </c>
      <c r="AG25" s="19">
        <v>44.7</v>
      </c>
      <c r="AH25" s="19">
        <v>38.799999999999997</v>
      </c>
      <c r="AI25" s="21">
        <v>35.799999999999997</v>
      </c>
      <c r="AJ25" s="23">
        <v>60.59</v>
      </c>
      <c r="AK25" s="23">
        <v>84.26</v>
      </c>
      <c r="AL25" s="23">
        <v>1134.47</v>
      </c>
      <c r="AM25" s="23">
        <v>72.400000000000006</v>
      </c>
      <c r="AN25" s="23">
        <v>1.54</v>
      </c>
      <c r="AO25" s="23">
        <v>51.03</v>
      </c>
      <c r="AP25" s="23">
        <v>3.2458673076923001</v>
      </c>
      <c r="AQ25" s="23">
        <v>7</v>
      </c>
      <c r="AR25" s="23" t="e">
        <f t="shared" si="0"/>
        <v>#VALUE!</v>
      </c>
      <c r="AS25" s="26">
        <v>6.9160000000000004</v>
      </c>
      <c r="AT25" s="26">
        <v>15.145</v>
      </c>
      <c r="AU25" s="26">
        <v>114.495</v>
      </c>
      <c r="AV25" s="26">
        <v>55.786000000000001</v>
      </c>
      <c r="AW25" s="26">
        <v>5.0819999999999999</v>
      </c>
      <c r="AX25" s="26">
        <v>4.8380000000000001</v>
      </c>
      <c r="AY25" s="26">
        <v>13.786</v>
      </c>
      <c r="AZ25" s="26">
        <v>34.902000000000001</v>
      </c>
      <c r="BA25" s="28">
        <v>123.87906191748701</v>
      </c>
      <c r="BB25" s="26">
        <v>16736.561000000002</v>
      </c>
      <c r="BC25" s="26">
        <v>157.767</v>
      </c>
      <c r="BD25" s="26">
        <v>206.48699999999999</v>
      </c>
      <c r="BE25" s="26">
        <v>73.748000000000005</v>
      </c>
      <c r="BF25" s="28">
        <v>69.649070870098384</v>
      </c>
      <c r="BG25" s="28">
        <v>114.01733287011307</v>
      </c>
      <c r="BH25" s="28">
        <v>33.876253462563454</v>
      </c>
      <c r="BI25" s="28">
        <v>31.456800676175384</v>
      </c>
      <c r="BJ25" s="28">
        <v>24.954026131489297</v>
      </c>
      <c r="BK25" s="26">
        <v>4.3160305750000003E-2</v>
      </c>
      <c r="BL25" s="18" t="s">
        <v>68</v>
      </c>
      <c r="BM25" s="18">
        <f t="shared" ref="BM25:BM27" si="10">O25/M25</f>
        <v>7.2141978811432317</v>
      </c>
      <c r="BN25" s="26" t="s">
        <v>68</v>
      </c>
    </row>
    <row r="26" spans="1:66" ht="15.75" customHeight="1" x14ac:dyDescent="0.2">
      <c r="A26" s="12">
        <v>9</v>
      </c>
      <c r="B26" s="6" t="s">
        <v>72</v>
      </c>
      <c r="C26" s="7" t="s">
        <v>70</v>
      </c>
      <c r="D26" s="6">
        <v>1</v>
      </c>
      <c r="E26" s="13">
        <v>6.44</v>
      </c>
      <c r="F26" s="9">
        <v>2.76</v>
      </c>
      <c r="G26" s="29">
        <v>29.4</v>
      </c>
      <c r="H26" s="10">
        <v>1898.2931382902498</v>
      </c>
      <c r="I26" s="10" t="s">
        <v>68</v>
      </c>
      <c r="J26" s="10">
        <v>29689.921259594048</v>
      </c>
      <c r="K26" s="10">
        <v>8987.7373945899926</v>
      </c>
      <c r="L26" s="11">
        <v>3310.4565531511576</v>
      </c>
      <c r="M26" s="11">
        <v>3261.7823301929279</v>
      </c>
      <c r="N26" s="11">
        <v>6657.0333335055911</v>
      </c>
      <c r="O26" s="11">
        <v>19101.726752378741</v>
      </c>
      <c r="P26" s="24" t="s">
        <v>68</v>
      </c>
      <c r="Q26" s="24">
        <v>144.64894135592513</v>
      </c>
      <c r="R26" s="24">
        <v>29.785619861966929</v>
      </c>
      <c r="S26" s="24">
        <v>26.780389396376354</v>
      </c>
      <c r="T26" s="24">
        <v>16.912624518160225</v>
      </c>
      <c r="U26" s="25">
        <v>32.847075595661643</v>
      </c>
      <c r="V26" s="25" t="s">
        <v>68</v>
      </c>
      <c r="W26" s="25">
        <v>18.195677785068945</v>
      </c>
      <c r="X26" s="25">
        <v>19.46951262433587</v>
      </c>
      <c r="Y26" s="25">
        <v>13.692504905253699</v>
      </c>
      <c r="Z26" s="12">
        <v>11</v>
      </c>
      <c r="AA26" s="12">
        <v>16</v>
      </c>
      <c r="AB26" s="12">
        <v>18.5</v>
      </c>
      <c r="AC26" s="12">
        <v>35.5</v>
      </c>
      <c r="AD26" s="13">
        <v>39</v>
      </c>
      <c r="AE26" s="12" t="s">
        <v>68</v>
      </c>
      <c r="AF26" s="12" t="s">
        <v>68</v>
      </c>
      <c r="AG26" s="12" t="s">
        <v>68</v>
      </c>
      <c r="AH26" s="12">
        <v>43.6</v>
      </c>
      <c r="AI26" s="13">
        <v>42.9</v>
      </c>
      <c r="AJ26" s="16">
        <v>77.72</v>
      </c>
      <c r="AK26" s="16">
        <v>41.25</v>
      </c>
      <c r="AL26" s="16">
        <v>1346.09</v>
      </c>
      <c r="AM26" s="16">
        <v>100.89</v>
      </c>
      <c r="AN26" s="16">
        <v>1.23</v>
      </c>
      <c r="AO26" s="16">
        <v>91.17</v>
      </c>
      <c r="AP26" s="16">
        <v>3.8384846153846</v>
      </c>
      <c r="AQ26" s="16">
        <v>7.4</v>
      </c>
      <c r="AR26" s="16" t="e">
        <f t="shared" si="0"/>
        <v>#VALUE!</v>
      </c>
      <c r="AS26" s="17">
        <v>12.225</v>
      </c>
      <c r="AT26" s="17">
        <v>37.625</v>
      </c>
      <c r="AU26" s="17">
        <v>191.203</v>
      </c>
      <c r="AV26" s="17">
        <v>57.881</v>
      </c>
      <c r="AW26" s="17">
        <v>9.1370000000000005</v>
      </c>
      <c r="AX26" s="17">
        <v>9.0030000000000001</v>
      </c>
      <c r="AY26" s="17">
        <v>18.373000000000001</v>
      </c>
      <c r="AZ26" s="17">
        <v>52.720999999999997</v>
      </c>
      <c r="BA26" s="32">
        <v>115.68890373346407</v>
      </c>
      <c r="BB26" s="17">
        <v>931.53899999999999</v>
      </c>
      <c r="BC26" s="17">
        <v>191.81899999999999</v>
      </c>
      <c r="BD26" s="17">
        <v>172.46600000000001</v>
      </c>
      <c r="BE26" s="17">
        <v>108.917</v>
      </c>
      <c r="BF26" s="32">
        <v>90.657928644026128</v>
      </c>
      <c r="BG26" s="32">
        <v>197.27000904861941</v>
      </c>
      <c r="BH26" s="32">
        <v>50.220070686790287</v>
      </c>
      <c r="BI26" s="32">
        <v>53.735854843166997</v>
      </c>
      <c r="BJ26" s="32">
        <v>37.791313538500205</v>
      </c>
      <c r="BK26" s="17">
        <v>5.8525665470000002E-2</v>
      </c>
      <c r="BL26" s="18" t="s">
        <v>68</v>
      </c>
      <c r="BM26" s="18">
        <f t="shared" si="10"/>
        <v>5.8562236282789941</v>
      </c>
      <c r="BN26" s="32">
        <v>46.627805499795755</v>
      </c>
    </row>
    <row r="27" spans="1:66" ht="15.75" customHeight="1" x14ac:dyDescent="0.2">
      <c r="A27" s="19">
        <v>9</v>
      </c>
      <c r="B27" s="19" t="s">
        <v>72</v>
      </c>
      <c r="C27" s="20" t="s">
        <v>70</v>
      </c>
      <c r="D27" s="19">
        <v>2</v>
      </c>
      <c r="E27" s="21">
        <v>6.17</v>
      </c>
      <c r="F27" s="22">
        <v>3.18</v>
      </c>
      <c r="G27" s="23">
        <v>34</v>
      </c>
      <c r="H27" s="24" t="s">
        <v>68</v>
      </c>
      <c r="I27" s="24">
        <v>4826.7876158704676</v>
      </c>
      <c r="J27" s="24">
        <v>25094.681780604311</v>
      </c>
      <c r="K27" s="24">
        <v>7174.9796713868682</v>
      </c>
      <c r="L27" s="25">
        <v>3205.0317353523924</v>
      </c>
      <c r="M27" s="25">
        <v>3256.8911271226775</v>
      </c>
      <c r="N27" s="25">
        <v>6940.2990318586017</v>
      </c>
      <c r="O27" s="25">
        <v>17170.645257683183</v>
      </c>
      <c r="P27" s="10">
        <v>21.100849517700624</v>
      </c>
      <c r="Q27" s="10" t="s">
        <v>68</v>
      </c>
      <c r="R27" s="10" t="s">
        <v>68</v>
      </c>
      <c r="S27" s="10">
        <v>45.157994588603167</v>
      </c>
      <c r="T27" s="10">
        <v>19.034082817826235</v>
      </c>
      <c r="U27" s="11">
        <v>24.41446193466922</v>
      </c>
      <c r="V27" s="11">
        <v>80.550205084714364</v>
      </c>
      <c r="W27" s="11">
        <v>19.215108367638326</v>
      </c>
      <c r="X27" s="11">
        <v>18.410405228267368</v>
      </c>
      <c r="Y27" s="11">
        <v>15.019599872068799</v>
      </c>
      <c r="Z27" s="19">
        <v>11.5</v>
      </c>
      <c r="AA27" s="19">
        <v>17</v>
      </c>
      <c r="AB27" s="19">
        <v>19</v>
      </c>
      <c r="AC27" s="19">
        <v>30</v>
      </c>
      <c r="AD27" s="21">
        <v>32</v>
      </c>
      <c r="AE27" s="19">
        <v>42.5</v>
      </c>
      <c r="AF27" s="19">
        <v>41.7</v>
      </c>
      <c r="AG27" s="19">
        <v>44.6</v>
      </c>
      <c r="AH27" s="19">
        <v>41.1</v>
      </c>
      <c r="AI27" s="21">
        <v>36</v>
      </c>
      <c r="AJ27" s="23">
        <v>78.11</v>
      </c>
      <c r="AK27" s="23">
        <v>48.36</v>
      </c>
      <c r="AL27" s="23">
        <v>1255.3800000000001</v>
      </c>
      <c r="AM27" s="23">
        <v>111.46</v>
      </c>
      <c r="AN27" s="23">
        <v>6.59</v>
      </c>
      <c r="AO27" s="23">
        <v>124.94</v>
      </c>
      <c r="AP27" s="23">
        <v>3.6648666666667</v>
      </c>
      <c r="AQ27" s="23">
        <v>7.4</v>
      </c>
      <c r="AR27" s="23">
        <f t="shared" si="0"/>
        <v>106.88666890200295</v>
      </c>
      <c r="AS27" s="26">
        <v>10.32</v>
      </c>
      <c r="AT27" s="26">
        <v>29.780999999999999</v>
      </c>
      <c r="AU27" s="26">
        <v>154.834</v>
      </c>
      <c r="AV27" s="26">
        <v>44.27</v>
      </c>
      <c r="AW27" s="26">
        <v>10.192</v>
      </c>
      <c r="AX27" s="26">
        <v>10.356999999999999</v>
      </c>
      <c r="AY27" s="26">
        <v>22.07</v>
      </c>
      <c r="AZ27" s="26">
        <v>54.603000000000002</v>
      </c>
      <c r="BA27" s="28">
        <v>130.19224152421285</v>
      </c>
      <c r="BB27" s="26">
        <v>38025.991000000002</v>
      </c>
      <c r="BC27" s="26">
        <v>264.858</v>
      </c>
      <c r="BD27" s="26">
        <v>278.625</v>
      </c>
      <c r="BE27" s="26">
        <v>117.44</v>
      </c>
      <c r="BF27" s="28">
        <v>77.637988952248122</v>
      </c>
      <c r="BG27" s="28">
        <v>256.14965216939169</v>
      </c>
      <c r="BH27" s="28">
        <v>61.104044609089883</v>
      </c>
      <c r="BI27" s="28">
        <v>58.545088625890237</v>
      </c>
      <c r="BJ27" s="28">
        <v>47.762327593178782</v>
      </c>
      <c r="BK27" s="26">
        <v>5.6197335039999997E-2</v>
      </c>
      <c r="BL27" s="18">
        <f t="shared" ref="BL27:BL28" si="11">K27/I27</f>
        <v>1.4864916881355106</v>
      </c>
      <c r="BM27" s="18">
        <f t="shared" si="10"/>
        <v>5.2720967903071125</v>
      </c>
      <c r="BN27" s="28">
        <v>40.138193374170896</v>
      </c>
    </row>
    <row r="28" spans="1:66" ht="15.75" customHeight="1" thickBot="1" x14ac:dyDescent="0.25">
      <c r="A28" s="36">
        <v>9</v>
      </c>
      <c r="B28" s="37" t="s">
        <v>72</v>
      </c>
      <c r="C28" s="7" t="s">
        <v>70</v>
      </c>
      <c r="D28" s="12">
        <v>3</v>
      </c>
      <c r="E28" s="38" t="s">
        <v>68</v>
      </c>
      <c r="F28" s="39" t="s">
        <v>68</v>
      </c>
      <c r="G28" s="40" t="s">
        <v>68</v>
      </c>
      <c r="H28" s="30">
        <v>1857.293261714336</v>
      </c>
      <c r="I28" s="30">
        <v>4862.9680232344217</v>
      </c>
      <c r="J28" s="30">
        <v>25326.924663201582</v>
      </c>
      <c r="K28" s="30">
        <v>10677.461555240458</v>
      </c>
      <c r="L28" s="31">
        <v>3278.5666644516623</v>
      </c>
      <c r="M28" s="31" t="s">
        <v>68</v>
      </c>
      <c r="N28" s="31">
        <v>6851.5980206210725</v>
      </c>
      <c r="O28" s="31">
        <v>19297.559122307095</v>
      </c>
      <c r="P28" s="10">
        <v>21.861561436475256</v>
      </c>
      <c r="Q28" s="10" t="s">
        <v>68</v>
      </c>
      <c r="R28" s="10">
        <v>29.488315351347037</v>
      </c>
      <c r="S28" s="10">
        <v>34.271989127836207</v>
      </c>
      <c r="T28" s="10">
        <v>16.206391247348463</v>
      </c>
      <c r="U28" s="11">
        <v>39.56702053532706</v>
      </c>
      <c r="V28" s="11">
        <v>77.208992798130851</v>
      </c>
      <c r="W28" s="11">
        <v>20.758779880145738</v>
      </c>
      <c r="X28" s="11">
        <v>17.111469640084003</v>
      </c>
      <c r="Y28" s="11">
        <v>13.777644965130992</v>
      </c>
      <c r="Z28" s="36" t="s">
        <v>68</v>
      </c>
      <c r="AA28" s="36" t="s">
        <v>68</v>
      </c>
      <c r="AB28" s="36" t="s">
        <v>68</v>
      </c>
      <c r="AC28" s="36" t="s">
        <v>68</v>
      </c>
      <c r="AD28" s="17" t="s">
        <v>68</v>
      </c>
      <c r="AE28" s="36">
        <v>43.7</v>
      </c>
      <c r="AF28" s="36">
        <v>41.6</v>
      </c>
      <c r="AG28" s="36">
        <v>42.4</v>
      </c>
      <c r="AH28" s="36" t="s">
        <v>68</v>
      </c>
      <c r="AI28" s="38">
        <v>32.6</v>
      </c>
      <c r="AJ28" s="16">
        <v>91.56</v>
      </c>
      <c r="AK28" s="16">
        <v>61.22</v>
      </c>
      <c r="AL28" s="16">
        <v>1419.63</v>
      </c>
      <c r="AM28" s="16">
        <v>138.61000000000001</v>
      </c>
      <c r="AN28" s="16">
        <v>1.71</v>
      </c>
      <c r="AO28" s="16">
        <v>114.99</v>
      </c>
      <c r="AP28" s="16">
        <v>4.2051038461537997</v>
      </c>
      <c r="AQ28" s="16">
        <v>7</v>
      </c>
      <c r="AR28" s="16">
        <f t="shared" si="0"/>
        <v>141.89336968727761</v>
      </c>
      <c r="AS28" s="17">
        <v>8.6549999999999994</v>
      </c>
      <c r="AT28" s="17">
        <v>22.661000000000001</v>
      </c>
      <c r="AU28" s="17" t="s">
        <v>68</v>
      </c>
      <c r="AV28" s="17">
        <v>49.756999999999998</v>
      </c>
      <c r="AW28" s="17" t="s">
        <v>68</v>
      </c>
      <c r="AX28" s="17" t="s">
        <v>68</v>
      </c>
      <c r="AY28" s="17" t="s">
        <v>68</v>
      </c>
      <c r="AZ28" s="17" t="s">
        <v>68</v>
      </c>
      <c r="BA28" s="32">
        <v>101.87487629397469</v>
      </c>
      <c r="BB28" s="17">
        <v>9311.223</v>
      </c>
      <c r="BC28" s="17">
        <v>137.416</v>
      </c>
      <c r="BD28" s="17">
        <v>159.70699999999999</v>
      </c>
      <c r="BE28" s="17">
        <v>75.522000000000006</v>
      </c>
      <c r="BF28" s="32">
        <v>82.695072918833546</v>
      </c>
      <c r="BG28" s="32">
        <v>161.36679494809346</v>
      </c>
      <c r="BH28" s="32">
        <v>43.385849949504589</v>
      </c>
      <c r="BI28" s="32">
        <v>35.762971547775564</v>
      </c>
      <c r="BJ28" s="32">
        <v>28.795277977123771</v>
      </c>
      <c r="BK28" s="17" t="s">
        <v>68</v>
      </c>
      <c r="BL28" s="18">
        <f t="shared" si="11"/>
        <v>2.1956676466358385</v>
      </c>
      <c r="BM28" s="18" t="s">
        <v>68</v>
      </c>
      <c r="BN28" s="17" t="s">
        <v>68</v>
      </c>
    </row>
    <row r="29" spans="1:66" ht="15.75" customHeight="1" x14ac:dyDescent="0.2">
      <c r="C29" s="20"/>
      <c r="AP29" s="41"/>
      <c r="AQ29" s="41"/>
    </row>
    <row r="30" spans="1:66" ht="15.75" customHeight="1" x14ac:dyDescent="0.2">
      <c r="C30" s="42"/>
      <c r="AP30" s="41"/>
      <c r="AQ30" s="41"/>
    </row>
    <row r="31" spans="1:66" ht="15.75" customHeight="1" x14ac:dyDescent="0.2">
      <c r="C31" s="42"/>
      <c r="AP31" s="41"/>
      <c r="AQ31" s="41"/>
    </row>
    <row r="32" spans="1:66" ht="15.75" customHeight="1" x14ac:dyDescent="0.2">
      <c r="C32" s="42"/>
      <c r="AP32" s="41"/>
      <c r="AQ32" s="41"/>
    </row>
    <row r="33" spans="1:43" ht="15.75" customHeight="1" x14ac:dyDescent="0.2">
      <c r="C33" s="42"/>
      <c r="AP33" s="41"/>
      <c r="AQ33" s="41"/>
    </row>
    <row r="34" spans="1:43" ht="15.75" customHeight="1" x14ac:dyDescent="0.2">
      <c r="C34" s="42"/>
      <c r="AP34" s="41"/>
      <c r="AQ34" s="41"/>
    </row>
    <row r="35" spans="1:43" ht="15.75" customHeight="1" x14ac:dyDescent="0.2">
      <c r="C35" s="42"/>
      <c r="AP35" s="41"/>
      <c r="AQ35" s="41"/>
    </row>
    <row r="36" spans="1:43" ht="15.75" customHeight="1" x14ac:dyDescent="0.2">
      <c r="A36" s="1"/>
      <c r="B36" s="1"/>
      <c r="C36" s="2"/>
      <c r="D36" s="1"/>
      <c r="AP36" s="41"/>
      <c r="AQ36" s="41"/>
    </row>
    <row r="37" spans="1:43" ht="15.75" customHeight="1" x14ac:dyDescent="0.2">
      <c r="A37" s="43"/>
      <c r="B37" s="43"/>
      <c r="C37" s="44"/>
      <c r="D37" s="43"/>
      <c r="AP37" s="41"/>
      <c r="AQ37" s="41"/>
    </row>
    <row r="38" spans="1:43" ht="15.75" customHeight="1" x14ac:dyDescent="0.2">
      <c r="A38" s="45"/>
      <c r="B38" s="45"/>
      <c r="C38" s="46"/>
      <c r="D38" s="45"/>
      <c r="AP38" s="41"/>
      <c r="AQ38" s="41"/>
    </row>
    <row r="39" spans="1:43" ht="15.75" customHeight="1" x14ac:dyDescent="0.2">
      <c r="A39" s="47"/>
      <c r="B39" s="47"/>
      <c r="C39" s="48"/>
      <c r="D39" s="47"/>
      <c r="AP39" s="41"/>
      <c r="AQ39" s="41"/>
    </row>
    <row r="40" spans="1:43" ht="15.75" customHeight="1" x14ac:dyDescent="0.2">
      <c r="A40" s="45"/>
      <c r="B40" s="45"/>
      <c r="C40" s="46"/>
      <c r="D40" s="45"/>
      <c r="AP40" s="41"/>
      <c r="AQ40" s="41"/>
    </row>
    <row r="41" spans="1:43" ht="15.75" customHeight="1" x14ac:dyDescent="0.2">
      <c r="A41" s="47"/>
      <c r="B41" s="47"/>
      <c r="C41" s="48"/>
      <c r="D41" s="47"/>
      <c r="AP41" s="41"/>
      <c r="AQ41" s="41"/>
    </row>
    <row r="42" spans="1:43" ht="15.75" customHeight="1" x14ac:dyDescent="0.2">
      <c r="A42" s="45"/>
      <c r="B42" s="45"/>
      <c r="C42" s="46"/>
      <c r="D42" s="45"/>
      <c r="AP42" s="41"/>
      <c r="AQ42" s="41"/>
    </row>
    <row r="43" spans="1:43" ht="15.75" customHeight="1" x14ac:dyDescent="0.2">
      <c r="A43" s="47"/>
      <c r="B43" s="47"/>
      <c r="C43" s="48"/>
      <c r="D43" s="47"/>
      <c r="AP43" s="41"/>
      <c r="AQ43" s="41"/>
    </row>
    <row r="44" spans="1:43" ht="15.75" customHeight="1" x14ac:dyDescent="0.2">
      <c r="A44" s="45"/>
      <c r="B44" s="45"/>
      <c r="C44" s="46"/>
      <c r="D44" s="45"/>
      <c r="AP44" s="41"/>
      <c r="AQ44" s="41"/>
    </row>
    <row r="45" spans="1:43" ht="15.75" customHeight="1" x14ac:dyDescent="0.2">
      <c r="A45" s="47"/>
      <c r="B45" s="47"/>
      <c r="C45" s="48"/>
      <c r="D45" s="47"/>
      <c r="AP45" s="41"/>
      <c r="AQ45" s="41"/>
    </row>
    <row r="46" spans="1:43" ht="15.75" customHeight="1" x14ac:dyDescent="0.2">
      <c r="A46" s="45"/>
      <c r="B46" s="45"/>
      <c r="C46" s="46"/>
      <c r="D46" s="45"/>
      <c r="AP46" s="41"/>
      <c r="AQ46" s="41"/>
    </row>
    <row r="47" spans="1:43" ht="15.75" customHeight="1" x14ac:dyDescent="0.2">
      <c r="A47" s="47"/>
      <c r="B47" s="47"/>
      <c r="C47" s="48"/>
      <c r="D47" s="47"/>
      <c r="AP47" s="41"/>
      <c r="AQ47" s="41"/>
    </row>
    <row r="48" spans="1:43" ht="15.75" customHeight="1" x14ac:dyDescent="0.2">
      <c r="A48" s="45"/>
      <c r="B48" s="45"/>
      <c r="C48" s="46"/>
      <c r="D48" s="45"/>
      <c r="AP48" s="41"/>
      <c r="AQ48" s="41"/>
    </row>
    <row r="49" spans="1:43" ht="15.75" customHeight="1" x14ac:dyDescent="0.2">
      <c r="A49" s="47"/>
      <c r="B49" s="47"/>
      <c r="C49" s="48"/>
      <c r="D49" s="47"/>
      <c r="AP49" s="41"/>
      <c r="AQ49" s="41"/>
    </row>
    <row r="50" spans="1:43" ht="15.75" customHeight="1" x14ac:dyDescent="0.2">
      <c r="A50" s="45"/>
      <c r="B50" s="45"/>
      <c r="C50" s="46"/>
      <c r="D50" s="45"/>
      <c r="AP50" s="41"/>
      <c r="AQ50" s="41"/>
    </row>
    <row r="51" spans="1:43" ht="15.75" customHeight="1" x14ac:dyDescent="0.2">
      <c r="A51" s="47"/>
      <c r="B51" s="47"/>
      <c r="C51" s="48"/>
      <c r="D51" s="47"/>
      <c r="AP51" s="41"/>
      <c r="AQ51" s="41"/>
    </row>
    <row r="52" spans="1:43" ht="15.75" customHeight="1" x14ac:dyDescent="0.2">
      <c r="A52" s="45"/>
      <c r="B52" s="45"/>
      <c r="C52" s="46"/>
      <c r="D52" s="45"/>
      <c r="AP52" s="41"/>
      <c r="AQ52" s="41"/>
    </row>
    <row r="53" spans="1:43" ht="15.75" customHeight="1" x14ac:dyDescent="0.2">
      <c r="A53" s="47"/>
      <c r="B53" s="47"/>
      <c r="C53" s="48"/>
      <c r="D53" s="47"/>
      <c r="AP53" s="41"/>
      <c r="AQ53" s="41"/>
    </row>
    <row r="54" spans="1:43" ht="15.75" customHeight="1" x14ac:dyDescent="0.2">
      <c r="A54" s="45"/>
      <c r="B54" s="45"/>
      <c r="C54" s="46"/>
      <c r="D54" s="45"/>
      <c r="AP54" s="41"/>
      <c r="AQ54" s="41"/>
    </row>
    <row r="55" spans="1:43" ht="15.75" customHeight="1" x14ac:dyDescent="0.2">
      <c r="A55" s="47"/>
      <c r="B55" s="47"/>
      <c r="C55" s="48"/>
      <c r="D55" s="47"/>
      <c r="AP55" s="41"/>
      <c r="AQ55" s="41"/>
    </row>
    <row r="56" spans="1:43" ht="15.75" customHeight="1" x14ac:dyDescent="0.2">
      <c r="A56" s="45"/>
      <c r="B56" s="45"/>
      <c r="C56" s="46"/>
      <c r="D56" s="45"/>
      <c r="AP56" s="41"/>
      <c r="AQ56" s="41"/>
    </row>
    <row r="57" spans="1:43" ht="15.75" customHeight="1" x14ac:dyDescent="0.2">
      <c r="A57" s="47"/>
      <c r="B57" s="47"/>
      <c r="C57" s="48"/>
      <c r="D57" s="47"/>
      <c r="AP57" s="41"/>
      <c r="AQ57" s="41"/>
    </row>
    <row r="58" spans="1:43" ht="15.75" customHeight="1" x14ac:dyDescent="0.2">
      <c r="A58" s="45"/>
      <c r="B58" s="45"/>
      <c r="C58" s="46"/>
      <c r="D58" s="45"/>
      <c r="AP58" s="41"/>
      <c r="AQ58" s="41"/>
    </row>
    <row r="59" spans="1:43" ht="15.75" customHeight="1" x14ac:dyDescent="0.2">
      <c r="A59" s="47"/>
      <c r="B59" s="47"/>
      <c r="C59" s="48"/>
      <c r="D59" s="47"/>
      <c r="AP59" s="41"/>
      <c r="AQ59" s="41"/>
    </row>
    <row r="60" spans="1:43" ht="15.75" customHeight="1" x14ac:dyDescent="0.2">
      <c r="A60" s="45"/>
      <c r="B60" s="45"/>
      <c r="C60" s="46"/>
      <c r="D60" s="45"/>
      <c r="AP60" s="41"/>
      <c r="AQ60" s="41"/>
    </row>
    <row r="61" spans="1:43" ht="15.75" customHeight="1" x14ac:dyDescent="0.2">
      <c r="A61" s="47"/>
      <c r="B61" s="47"/>
      <c r="C61" s="48"/>
      <c r="D61" s="47"/>
      <c r="AP61" s="41"/>
      <c r="AQ61" s="41"/>
    </row>
    <row r="62" spans="1:43" ht="15.75" customHeight="1" x14ac:dyDescent="0.2">
      <c r="A62" s="45"/>
      <c r="B62" s="45"/>
      <c r="C62" s="46"/>
      <c r="D62" s="45"/>
      <c r="AP62" s="41"/>
      <c r="AQ62" s="41"/>
    </row>
    <row r="63" spans="1:43" ht="15.75" customHeight="1" x14ac:dyDescent="0.2">
      <c r="A63" s="49"/>
      <c r="B63" s="49"/>
      <c r="C63" s="50"/>
      <c r="D63" s="49"/>
      <c r="AP63" s="41"/>
      <c r="AQ63" s="41"/>
    </row>
    <row r="64" spans="1:43" ht="15.75" customHeight="1" x14ac:dyDescent="0.2">
      <c r="C64" s="42"/>
      <c r="AP64" s="41"/>
      <c r="AQ64" s="41"/>
    </row>
    <row r="65" spans="3:43" ht="15.75" customHeight="1" x14ac:dyDescent="0.2">
      <c r="C65" s="42"/>
      <c r="AP65" s="41"/>
      <c r="AQ65" s="41"/>
    </row>
    <row r="66" spans="3:43" ht="15.75" customHeight="1" x14ac:dyDescent="0.2">
      <c r="C66" s="42"/>
      <c r="AP66" s="41"/>
      <c r="AQ66" s="41"/>
    </row>
    <row r="67" spans="3:43" ht="15.75" customHeight="1" x14ac:dyDescent="0.2">
      <c r="C67" s="42"/>
      <c r="AP67" s="41"/>
      <c r="AQ67" s="41"/>
    </row>
    <row r="68" spans="3:43" ht="15.75" customHeight="1" x14ac:dyDescent="0.2">
      <c r="C68" s="42"/>
      <c r="AP68" s="41"/>
      <c r="AQ68" s="41"/>
    </row>
    <row r="69" spans="3:43" ht="15.75" customHeight="1" x14ac:dyDescent="0.2">
      <c r="C69" s="42"/>
      <c r="AP69" s="41"/>
      <c r="AQ69" s="41"/>
    </row>
    <row r="70" spans="3:43" ht="15.75" customHeight="1" x14ac:dyDescent="0.2">
      <c r="C70" s="42"/>
      <c r="AP70" s="41"/>
      <c r="AQ70" s="41"/>
    </row>
    <row r="71" spans="3:43" ht="15.75" customHeight="1" x14ac:dyDescent="0.2">
      <c r="C71" s="42"/>
      <c r="AP71" s="41"/>
      <c r="AQ71" s="41"/>
    </row>
    <row r="72" spans="3:43" ht="15.75" customHeight="1" x14ac:dyDescent="0.2">
      <c r="C72" s="42"/>
      <c r="AP72" s="41"/>
      <c r="AQ72" s="41"/>
    </row>
    <row r="73" spans="3:43" ht="15.75" customHeight="1" x14ac:dyDescent="0.2">
      <c r="C73" s="42"/>
      <c r="AP73" s="41"/>
      <c r="AQ73" s="41"/>
    </row>
    <row r="74" spans="3:43" ht="15.75" customHeight="1" x14ac:dyDescent="0.2">
      <c r="C74" s="42"/>
      <c r="AP74" s="41"/>
      <c r="AQ74" s="41"/>
    </row>
    <row r="75" spans="3:43" ht="15.75" customHeight="1" x14ac:dyDescent="0.2">
      <c r="C75" s="42"/>
      <c r="AP75" s="41"/>
      <c r="AQ75" s="41"/>
    </row>
    <row r="76" spans="3:43" ht="15.75" customHeight="1" x14ac:dyDescent="0.2">
      <c r="C76" s="42"/>
      <c r="AP76" s="41"/>
      <c r="AQ76" s="41"/>
    </row>
    <row r="77" spans="3:43" ht="15.75" customHeight="1" x14ac:dyDescent="0.2">
      <c r="C77" s="42"/>
      <c r="AP77" s="41"/>
      <c r="AQ77" s="41"/>
    </row>
    <row r="78" spans="3:43" ht="15.75" customHeight="1" x14ac:dyDescent="0.2">
      <c r="C78" s="42"/>
      <c r="AP78" s="41"/>
      <c r="AQ78" s="41"/>
    </row>
    <row r="79" spans="3:43" ht="15.75" customHeight="1" x14ac:dyDescent="0.2">
      <c r="C79" s="42"/>
      <c r="AP79" s="41"/>
      <c r="AQ79" s="41"/>
    </row>
    <row r="80" spans="3:43" ht="15.75" customHeight="1" x14ac:dyDescent="0.2">
      <c r="C80" s="42"/>
      <c r="AP80" s="41"/>
      <c r="AQ80" s="41"/>
    </row>
    <row r="81" spans="3:43" ht="15.75" customHeight="1" x14ac:dyDescent="0.2">
      <c r="C81" s="42"/>
      <c r="AP81" s="41"/>
      <c r="AQ81" s="41"/>
    </row>
    <row r="82" spans="3:43" ht="15.75" customHeight="1" x14ac:dyDescent="0.2">
      <c r="C82" s="42"/>
      <c r="AP82" s="41"/>
      <c r="AQ82" s="41"/>
    </row>
    <row r="83" spans="3:43" ht="15.75" customHeight="1" x14ac:dyDescent="0.2">
      <c r="C83" s="42"/>
      <c r="AP83" s="41"/>
      <c r="AQ83" s="41"/>
    </row>
    <row r="84" spans="3:43" ht="15.75" customHeight="1" x14ac:dyDescent="0.2">
      <c r="C84" s="42"/>
      <c r="AP84" s="41"/>
      <c r="AQ84" s="41"/>
    </row>
    <row r="85" spans="3:43" ht="15.75" customHeight="1" x14ac:dyDescent="0.2">
      <c r="C85" s="42"/>
      <c r="AP85" s="41"/>
      <c r="AQ85" s="41"/>
    </row>
    <row r="86" spans="3:43" ht="15.75" customHeight="1" x14ac:dyDescent="0.2">
      <c r="C86" s="42"/>
      <c r="AP86" s="41"/>
      <c r="AQ86" s="41"/>
    </row>
    <row r="87" spans="3:43" ht="15.75" customHeight="1" x14ac:dyDescent="0.2">
      <c r="C87" s="42"/>
      <c r="AP87" s="41"/>
      <c r="AQ87" s="41"/>
    </row>
    <row r="88" spans="3:43" ht="15.75" customHeight="1" x14ac:dyDescent="0.2">
      <c r="C88" s="42"/>
      <c r="AP88" s="41"/>
      <c r="AQ88" s="41"/>
    </row>
    <row r="89" spans="3:43" ht="15.75" customHeight="1" x14ac:dyDescent="0.2">
      <c r="C89" s="42"/>
      <c r="AP89" s="41"/>
      <c r="AQ89" s="41"/>
    </row>
    <row r="90" spans="3:43" ht="15.75" customHeight="1" x14ac:dyDescent="0.2">
      <c r="C90" s="42"/>
      <c r="AP90" s="41"/>
      <c r="AQ90" s="41"/>
    </row>
    <row r="91" spans="3:43" ht="15.75" customHeight="1" x14ac:dyDescent="0.2">
      <c r="C91" s="42"/>
      <c r="AP91" s="41"/>
      <c r="AQ91" s="41"/>
    </row>
    <row r="92" spans="3:43" ht="15.75" customHeight="1" x14ac:dyDescent="0.2">
      <c r="C92" s="42"/>
      <c r="AP92" s="41"/>
      <c r="AQ92" s="41"/>
    </row>
    <row r="93" spans="3:43" ht="15.75" customHeight="1" x14ac:dyDescent="0.2">
      <c r="C93" s="42"/>
      <c r="AP93" s="41"/>
      <c r="AQ93" s="41"/>
    </row>
    <row r="94" spans="3:43" ht="15.75" customHeight="1" x14ac:dyDescent="0.2">
      <c r="C94" s="42"/>
      <c r="AP94" s="41"/>
      <c r="AQ94" s="41"/>
    </row>
    <row r="95" spans="3:43" ht="15.75" customHeight="1" x14ac:dyDescent="0.2">
      <c r="C95" s="42"/>
      <c r="AP95" s="41"/>
      <c r="AQ95" s="41"/>
    </row>
    <row r="96" spans="3:43" ht="15.75" customHeight="1" x14ac:dyDescent="0.2">
      <c r="C96" s="42"/>
      <c r="AP96" s="41"/>
      <c r="AQ96" s="41"/>
    </row>
    <row r="97" spans="3:43" ht="15.75" customHeight="1" x14ac:dyDescent="0.2">
      <c r="C97" s="42"/>
      <c r="AP97" s="41"/>
      <c r="AQ97" s="41"/>
    </row>
    <row r="98" spans="3:43" ht="15.75" customHeight="1" x14ac:dyDescent="0.2">
      <c r="C98" s="42"/>
      <c r="AP98" s="41"/>
      <c r="AQ98" s="41"/>
    </row>
    <row r="99" spans="3:43" ht="15.75" customHeight="1" x14ac:dyDescent="0.2">
      <c r="C99" s="42"/>
      <c r="AP99" s="41"/>
      <c r="AQ99" s="41"/>
    </row>
    <row r="100" spans="3:43" ht="15.75" customHeight="1" x14ac:dyDescent="0.2">
      <c r="C100" s="42"/>
      <c r="AP100" s="41"/>
      <c r="AQ100" s="41"/>
    </row>
    <row r="101" spans="3:43" ht="15.75" customHeight="1" x14ac:dyDescent="0.2">
      <c r="C101" s="42"/>
      <c r="AP101" s="41"/>
      <c r="AQ101" s="41"/>
    </row>
    <row r="102" spans="3:43" ht="15.75" customHeight="1" x14ac:dyDescent="0.2">
      <c r="C102" s="42"/>
      <c r="AP102" s="41"/>
      <c r="AQ102" s="41"/>
    </row>
    <row r="103" spans="3:43" ht="15.75" customHeight="1" x14ac:dyDescent="0.2">
      <c r="C103" s="42"/>
      <c r="AP103" s="41"/>
      <c r="AQ103" s="41"/>
    </row>
    <row r="104" spans="3:43" ht="15.75" customHeight="1" x14ac:dyDescent="0.2">
      <c r="C104" s="42"/>
      <c r="AP104" s="41"/>
      <c r="AQ104" s="41"/>
    </row>
    <row r="105" spans="3:43" ht="15.75" customHeight="1" x14ac:dyDescent="0.2">
      <c r="C105" s="42"/>
      <c r="AP105" s="41"/>
      <c r="AQ105" s="41"/>
    </row>
    <row r="106" spans="3:43" ht="15.75" customHeight="1" x14ac:dyDescent="0.2">
      <c r="C106" s="42"/>
      <c r="AP106" s="41"/>
      <c r="AQ106" s="41"/>
    </row>
    <row r="107" spans="3:43" ht="15.75" customHeight="1" x14ac:dyDescent="0.2">
      <c r="C107" s="42"/>
      <c r="AP107" s="41"/>
      <c r="AQ107" s="41"/>
    </row>
    <row r="108" spans="3:43" ht="15.75" customHeight="1" x14ac:dyDescent="0.2">
      <c r="C108" s="42"/>
      <c r="AP108" s="41"/>
      <c r="AQ108" s="41"/>
    </row>
    <row r="109" spans="3:43" ht="15.75" customHeight="1" x14ac:dyDescent="0.2">
      <c r="C109" s="42"/>
      <c r="AP109" s="41"/>
      <c r="AQ109" s="41"/>
    </row>
    <row r="110" spans="3:43" ht="15.75" customHeight="1" x14ac:dyDescent="0.2">
      <c r="C110" s="42"/>
      <c r="AP110" s="41"/>
      <c r="AQ110" s="41"/>
    </row>
    <row r="111" spans="3:43" ht="15.75" customHeight="1" x14ac:dyDescent="0.2">
      <c r="C111" s="42"/>
      <c r="AP111" s="41"/>
      <c r="AQ111" s="41"/>
    </row>
    <row r="112" spans="3:43" ht="15.75" customHeight="1" x14ac:dyDescent="0.2">
      <c r="C112" s="42"/>
      <c r="AP112" s="41"/>
      <c r="AQ112" s="41"/>
    </row>
    <row r="113" spans="3:43" ht="15.75" customHeight="1" x14ac:dyDescent="0.2">
      <c r="C113" s="42"/>
      <c r="AP113" s="41"/>
      <c r="AQ113" s="41"/>
    </row>
    <row r="114" spans="3:43" ht="15.75" customHeight="1" x14ac:dyDescent="0.2">
      <c r="C114" s="42"/>
      <c r="AP114" s="41"/>
      <c r="AQ114" s="41"/>
    </row>
    <row r="115" spans="3:43" ht="15.75" customHeight="1" x14ac:dyDescent="0.2">
      <c r="C115" s="42"/>
      <c r="AP115" s="41"/>
      <c r="AQ115" s="41"/>
    </row>
    <row r="116" spans="3:43" ht="15.75" customHeight="1" x14ac:dyDescent="0.2">
      <c r="C116" s="42"/>
      <c r="AP116" s="41"/>
      <c r="AQ116" s="41"/>
    </row>
    <row r="117" spans="3:43" ht="15.75" customHeight="1" x14ac:dyDescent="0.2">
      <c r="C117" s="42"/>
      <c r="AP117" s="41"/>
      <c r="AQ117" s="41"/>
    </row>
    <row r="118" spans="3:43" ht="15.75" customHeight="1" x14ac:dyDescent="0.2">
      <c r="C118" s="42"/>
      <c r="AP118" s="41"/>
      <c r="AQ118" s="41"/>
    </row>
    <row r="119" spans="3:43" ht="15.75" customHeight="1" x14ac:dyDescent="0.2">
      <c r="C119" s="42"/>
      <c r="AP119" s="41"/>
      <c r="AQ119" s="41"/>
    </row>
    <row r="120" spans="3:43" ht="15.75" customHeight="1" x14ac:dyDescent="0.2">
      <c r="C120" s="42"/>
      <c r="AP120" s="41"/>
      <c r="AQ120" s="41"/>
    </row>
    <row r="121" spans="3:43" ht="15.75" customHeight="1" x14ac:dyDescent="0.2">
      <c r="C121" s="42"/>
      <c r="AP121" s="41"/>
      <c r="AQ121" s="41"/>
    </row>
    <row r="122" spans="3:43" ht="15.75" customHeight="1" x14ac:dyDescent="0.2">
      <c r="C122" s="42"/>
      <c r="AP122" s="41"/>
      <c r="AQ122" s="41"/>
    </row>
    <row r="123" spans="3:43" ht="15.75" customHeight="1" x14ac:dyDescent="0.2">
      <c r="C123" s="42"/>
      <c r="AP123" s="41"/>
      <c r="AQ123" s="41"/>
    </row>
    <row r="124" spans="3:43" ht="15.75" customHeight="1" x14ac:dyDescent="0.2">
      <c r="C124" s="42"/>
      <c r="AP124" s="41"/>
      <c r="AQ124" s="41"/>
    </row>
    <row r="125" spans="3:43" ht="15.75" customHeight="1" x14ac:dyDescent="0.2">
      <c r="C125" s="42"/>
      <c r="AP125" s="41"/>
      <c r="AQ125" s="41"/>
    </row>
    <row r="126" spans="3:43" ht="15.75" customHeight="1" x14ac:dyDescent="0.2">
      <c r="C126" s="42"/>
      <c r="AP126" s="41"/>
      <c r="AQ126" s="41"/>
    </row>
    <row r="127" spans="3:43" ht="15.75" customHeight="1" x14ac:dyDescent="0.2">
      <c r="C127" s="42"/>
      <c r="AP127" s="41"/>
      <c r="AQ127" s="41"/>
    </row>
    <row r="128" spans="3:43" ht="15.75" customHeight="1" x14ac:dyDescent="0.2">
      <c r="C128" s="42"/>
      <c r="AP128" s="41"/>
      <c r="AQ128" s="41"/>
    </row>
    <row r="129" spans="3:43" ht="15.75" customHeight="1" x14ac:dyDescent="0.2">
      <c r="C129" s="42"/>
      <c r="AP129" s="41"/>
      <c r="AQ129" s="41"/>
    </row>
    <row r="130" spans="3:43" ht="15.75" customHeight="1" x14ac:dyDescent="0.2">
      <c r="C130" s="42"/>
      <c r="AP130" s="41"/>
      <c r="AQ130" s="41"/>
    </row>
    <row r="131" spans="3:43" ht="15.75" customHeight="1" x14ac:dyDescent="0.2">
      <c r="C131" s="42"/>
      <c r="AP131" s="41"/>
      <c r="AQ131" s="41"/>
    </row>
    <row r="132" spans="3:43" ht="15.75" customHeight="1" x14ac:dyDescent="0.2">
      <c r="C132" s="42"/>
      <c r="AP132" s="41"/>
      <c r="AQ132" s="41"/>
    </row>
    <row r="133" spans="3:43" ht="15.75" customHeight="1" x14ac:dyDescent="0.2">
      <c r="C133" s="42"/>
      <c r="AP133" s="41"/>
      <c r="AQ133" s="41"/>
    </row>
    <row r="134" spans="3:43" ht="15.75" customHeight="1" x14ac:dyDescent="0.2">
      <c r="C134" s="42"/>
      <c r="AP134" s="41"/>
      <c r="AQ134" s="41"/>
    </row>
    <row r="135" spans="3:43" ht="15.75" customHeight="1" x14ac:dyDescent="0.2">
      <c r="C135" s="42"/>
      <c r="AP135" s="41"/>
      <c r="AQ135" s="41"/>
    </row>
    <row r="136" spans="3:43" ht="15.75" customHeight="1" x14ac:dyDescent="0.2">
      <c r="C136" s="42"/>
      <c r="AP136" s="41"/>
      <c r="AQ136" s="41"/>
    </row>
    <row r="137" spans="3:43" ht="15.75" customHeight="1" x14ac:dyDescent="0.2">
      <c r="C137" s="42"/>
      <c r="AP137" s="41"/>
      <c r="AQ137" s="41"/>
    </row>
    <row r="138" spans="3:43" ht="15.75" customHeight="1" x14ac:dyDescent="0.2">
      <c r="C138" s="42"/>
      <c r="AP138" s="41"/>
      <c r="AQ138" s="41"/>
    </row>
    <row r="139" spans="3:43" ht="15.75" customHeight="1" x14ac:dyDescent="0.2">
      <c r="C139" s="42"/>
      <c r="AP139" s="41"/>
      <c r="AQ139" s="41"/>
    </row>
    <row r="140" spans="3:43" ht="15.75" customHeight="1" x14ac:dyDescent="0.2">
      <c r="C140" s="42"/>
      <c r="AP140" s="41"/>
      <c r="AQ140" s="41"/>
    </row>
    <row r="141" spans="3:43" ht="15.75" customHeight="1" x14ac:dyDescent="0.2">
      <c r="C141" s="42"/>
      <c r="AP141" s="41"/>
      <c r="AQ141" s="41"/>
    </row>
    <row r="142" spans="3:43" ht="15.75" customHeight="1" x14ac:dyDescent="0.2">
      <c r="C142" s="42"/>
      <c r="AP142" s="41"/>
      <c r="AQ142" s="41"/>
    </row>
    <row r="143" spans="3:43" ht="15.75" customHeight="1" x14ac:dyDescent="0.2">
      <c r="C143" s="42"/>
      <c r="AP143" s="41"/>
      <c r="AQ143" s="41"/>
    </row>
    <row r="144" spans="3:43" ht="15.75" customHeight="1" x14ac:dyDescent="0.2">
      <c r="C144" s="42"/>
      <c r="AP144" s="41"/>
      <c r="AQ144" s="41"/>
    </row>
    <row r="145" spans="3:43" ht="15.75" customHeight="1" x14ac:dyDescent="0.2">
      <c r="C145" s="42"/>
      <c r="AP145" s="41"/>
      <c r="AQ145" s="41"/>
    </row>
    <row r="146" spans="3:43" ht="15.75" customHeight="1" x14ac:dyDescent="0.2">
      <c r="C146" s="42"/>
      <c r="AP146" s="41"/>
      <c r="AQ146" s="41"/>
    </row>
    <row r="147" spans="3:43" ht="15.75" customHeight="1" x14ac:dyDescent="0.2">
      <c r="C147" s="42"/>
      <c r="AP147" s="41"/>
      <c r="AQ147" s="41"/>
    </row>
    <row r="148" spans="3:43" ht="15.75" customHeight="1" x14ac:dyDescent="0.2">
      <c r="C148" s="42"/>
      <c r="AP148" s="41"/>
      <c r="AQ148" s="41"/>
    </row>
    <row r="149" spans="3:43" ht="15.75" customHeight="1" x14ac:dyDescent="0.2">
      <c r="C149" s="42"/>
      <c r="AP149" s="41"/>
      <c r="AQ149" s="41"/>
    </row>
    <row r="150" spans="3:43" ht="15.75" customHeight="1" x14ac:dyDescent="0.2">
      <c r="C150" s="42"/>
      <c r="AP150" s="41"/>
      <c r="AQ150" s="41"/>
    </row>
    <row r="151" spans="3:43" ht="15.75" customHeight="1" x14ac:dyDescent="0.2">
      <c r="C151" s="42"/>
      <c r="AP151" s="41"/>
      <c r="AQ151" s="41"/>
    </row>
    <row r="152" spans="3:43" ht="15.75" customHeight="1" x14ac:dyDescent="0.2">
      <c r="C152" s="42"/>
      <c r="AP152" s="41"/>
      <c r="AQ152" s="41"/>
    </row>
    <row r="153" spans="3:43" ht="15.75" customHeight="1" x14ac:dyDescent="0.2">
      <c r="C153" s="42"/>
      <c r="AP153" s="41"/>
      <c r="AQ153" s="41"/>
    </row>
    <row r="154" spans="3:43" ht="15.75" customHeight="1" x14ac:dyDescent="0.2">
      <c r="C154" s="42"/>
      <c r="AP154" s="41"/>
      <c r="AQ154" s="41"/>
    </row>
    <row r="155" spans="3:43" ht="15.75" customHeight="1" x14ac:dyDescent="0.2">
      <c r="C155" s="42"/>
      <c r="AP155" s="41"/>
      <c r="AQ155" s="41"/>
    </row>
    <row r="156" spans="3:43" ht="15.75" customHeight="1" x14ac:dyDescent="0.2">
      <c r="C156" s="42"/>
      <c r="AP156" s="41"/>
      <c r="AQ156" s="41"/>
    </row>
    <row r="157" spans="3:43" ht="15.75" customHeight="1" x14ac:dyDescent="0.2">
      <c r="C157" s="42"/>
      <c r="AP157" s="41"/>
      <c r="AQ157" s="41"/>
    </row>
    <row r="158" spans="3:43" ht="15.75" customHeight="1" x14ac:dyDescent="0.2">
      <c r="C158" s="42"/>
      <c r="AP158" s="41"/>
      <c r="AQ158" s="41"/>
    </row>
    <row r="159" spans="3:43" ht="15.75" customHeight="1" x14ac:dyDescent="0.2">
      <c r="C159" s="42"/>
      <c r="AP159" s="41"/>
      <c r="AQ159" s="41"/>
    </row>
    <row r="160" spans="3:43" ht="15.75" customHeight="1" x14ac:dyDescent="0.2">
      <c r="C160" s="42"/>
      <c r="AP160" s="41"/>
      <c r="AQ160" s="41"/>
    </row>
    <row r="161" spans="3:43" ht="15.75" customHeight="1" x14ac:dyDescent="0.2">
      <c r="C161" s="42"/>
      <c r="AP161" s="41"/>
      <c r="AQ161" s="41"/>
    </row>
    <row r="162" spans="3:43" ht="15.75" customHeight="1" x14ac:dyDescent="0.2">
      <c r="C162" s="42"/>
      <c r="AP162" s="41"/>
      <c r="AQ162" s="41"/>
    </row>
    <row r="163" spans="3:43" ht="15.75" customHeight="1" x14ac:dyDescent="0.2">
      <c r="C163" s="42"/>
      <c r="AP163" s="41"/>
      <c r="AQ163" s="41"/>
    </row>
    <row r="164" spans="3:43" ht="15.75" customHeight="1" x14ac:dyDescent="0.2">
      <c r="C164" s="42"/>
      <c r="AP164" s="41"/>
      <c r="AQ164" s="41"/>
    </row>
    <row r="165" spans="3:43" ht="15.75" customHeight="1" x14ac:dyDescent="0.2">
      <c r="C165" s="42"/>
      <c r="AP165" s="41"/>
      <c r="AQ165" s="41"/>
    </row>
    <row r="166" spans="3:43" ht="15.75" customHeight="1" x14ac:dyDescent="0.2">
      <c r="C166" s="42"/>
      <c r="AP166" s="41"/>
      <c r="AQ166" s="41"/>
    </row>
    <row r="167" spans="3:43" ht="15.75" customHeight="1" x14ac:dyDescent="0.2">
      <c r="C167" s="42"/>
      <c r="AP167" s="41"/>
      <c r="AQ167" s="41"/>
    </row>
    <row r="168" spans="3:43" ht="15.75" customHeight="1" x14ac:dyDescent="0.2">
      <c r="C168" s="42"/>
      <c r="AP168" s="41"/>
      <c r="AQ168" s="41"/>
    </row>
    <row r="169" spans="3:43" ht="15.75" customHeight="1" x14ac:dyDescent="0.2">
      <c r="C169" s="42"/>
      <c r="AP169" s="41"/>
      <c r="AQ169" s="41"/>
    </row>
    <row r="170" spans="3:43" ht="15.75" customHeight="1" x14ac:dyDescent="0.2">
      <c r="C170" s="42"/>
      <c r="AP170" s="41"/>
      <c r="AQ170" s="41"/>
    </row>
    <row r="171" spans="3:43" ht="15.75" customHeight="1" x14ac:dyDescent="0.2">
      <c r="C171" s="42"/>
      <c r="AP171" s="41"/>
      <c r="AQ171" s="41"/>
    </row>
    <row r="172" spans="3:43" ht="15.75" customHeight="1" x14ac:dyDescent="0.2">
      <c r="C172" s="42"/>
      <c r="AP172" s="41"/>
      <c r="AQ172" s="41"/>
    </row>
    <row r="173" spans="3:43" ht="15.75" customHeight="1" x14ac:dyDescent="0.2">
      <c r="C173" s="42"/>
      <c r="AP173" s="41"/>
      <c r="AQ173" s="41"/>
    </row>
    <row r="174" spans="3:43" ht="15.75" customHeight="1" x14ac:dyDescent="0.2">
      <c r="C174" s="42"/>
      <c r="AP174" s="41"/>
      <c r="AQ174" s="41"/>
    </row>
    <row r="175" spans="3:43" ht="15.75" customHeight="1" x14ac:dyDescent="0.2">
      <c r="C175" s="42"/>
      <c r="AP175" s="41"/>
      <c r="AQ175" s="41"/>
    </row>
    <row r="176" spans="3:43" ht="15.75" customHeight="1" x14ac:dyDescent="0.2">
      <c r="C176" s="42"/>
      <c r="AP176" s="41"/>
      <c r="AQ176" s="41"/>
    </row>
    <row r="177" spans="3:43" ht="15.75" customHeight="1" x14ac:dyDescent="0.2">
      <c r="C177" s="42"/>
      <c r="AP177" s="41"/>
      <c r="AQ177" s="41"/>
    </row>
    <row r="178" spans="3:43" ht="15.75" customHeight="1" x14ac:dyDescent="0.2">
      <c r="C178" s="42"/>
      <c r="AP178" s="41"/>
      <c r="AQ178" s="41"/>
    </row>
    <row r="179" spans="3:43" ht="15.75" customHeight="1" x14ac:dyDescent="0.2">
      <c r="C179" s="42"/>
      <c r="AP179" s="41"/>
      <c r="AQ179" s="41"/>
    </row>
    <row r="180" spans="3:43" ht="15.75" customHeight="1" x14ac:dyDescent="0.2">
      <c r="C180" s="42"/>
      <c r="AP180" s="41"/>
      <c r="AQ180" s="41"/>
    </row>
    <row r="181" spans="3:43" ht="15.75" customHeight="1" x14ac:dyDescent="0.2">
      <c r="C181" s="42"/>
      <c r="AP181" s="41"/>
      <c r="AQ181" s="41"/>
    </row>
    <row r="182" spans="3:43" ht="15.75" customHeight="1" x14ac:dyDescent="0.2">
      <c r="C182" s="42"/>
      <c r="AP182" s="41"/>
      <c r="AQ182" s="41"/>
    </row>
    <row r="183" spans="3:43" ht="15.75" customHeight="1" x14ac:dyDescent="0.2">
      <c r="C183" s="42"/>
      <c r="AP183" s="41"/>
      <c r="AQ183" s="41"/>
    </row>
    <row r="184" spans="3:43" ht="15.75" customHeight="1" x14ac:dyDescent="0.2">
      <c r="C184" s="42"/>
      <c r="AP184" s="41"/>
      <c r="AQ184" s="41"/>
    </row>
    <row r="185" spans="3:43" ht="15.75" customHeight="1" x14ac:dyDescent="0.2">
      <c r="C185" s="42"/>
      <c r="AP185" s="41"/>
      <c r="AQ185" s="41"/>
    </row>
    <row r="186" spans="3:43" ht="15.75" customHeight="1" x14ac:dyDescent="0.2">
      <c r="C186" s="42"/>
      <c r="AP186" s="41"/>
      <c r="AQ186" s="41"/>
    </row>
    <row r="187" spans="3:43" ht="15.75" customHeight="1" x14ac:dyDescent="0.2">
      <c r="C187" s="42"/>
      <c r="AP187" s="41"/>
      <c r="AQ187" s="41"/>
    </row>
    <row r="188" spans="3:43" ht="15.75" customHeight="1" x14ac:dyDescent="0.2">
      <c r="C188" s="42"/>
      <c r="AP188" s="41"/>
      <c r="AQ188" s="41"/>
    </row>
    <row r="189" spans="3:43" ht="15.75" customHeight="1" x14ac:dyDescent="0.2">
      <c r="C189" s="42"/>
      <c r="AP189" s="41"/>
      <c r="AQ189" s="41"/>
    </row>
    <row r="190" spans="3:43" ht="15.75" customHeight="1" x14ac:dyDescent="0.2">
      <c r="C190" s="42"/>
      <c r="AP190" s="41"/>
      <c r="AQ190" s="41"/>
    </row>
    <row r="191" spans="3:43" ht="15.75" customHeight="1" x14ac:dyDescent="0.2">
      <c r="C191" s="42"/>
      <c r="AP191" s="41"/>
      <c r="AQ191" s="41"/>
    </row>
    <row r="192" spans="3:43" ht="15.75" customHeight="1" x14ac:dyDescent="0.2">
      <c r="C192" s="42"/>
      <c r="AP192" s="41"/>
      <c r="AQ192" s="41"/>
    </row>
    <row r="193" spans="3:43" ht="15.75" customHeight="1" x14ac:dyDescent="0.2">
      <c r="C193" s="42"/>
      <c r="AP193" s="41"/>
      <c r="AQ193" s="41"/>
    </row>
    <row r="194" spans="3:43" ht="15.75" customHeight="1" x14ac:dyDescent="0.2">
      <c r="C194" s="42"/>
      <c r="AP194" s="41"/>
      <c r="AQ194" s="41"/>
    </row>
    <row r="195" spans="3:43" ht="15.75" customHeight="1" x14ac:dyDescent="0.2">
      <c r="C195" s="42"/>
      <c r="AP195" s="41"/>
      <c r="AQ195" s="41"/>
    </row>
    <row r="196" spans="3:43" ht="15.75" customHeight="1" x14ac:dyDescent="0.2">
      <c r="C196" s="42"/>
      <c r="AP196" s="41"/>
      <c r="AQ196" s="41"/>
    </row>
    <row r="197" spans="3:43" ht="15.75" customHeight="1" x14ac:dyDescent="0.2">
      <c r="C197" s="42"/>
      <c r="AP197" s="41"/>
      <c r="AQ197" s="41"/>
    </row>
    <row r="198" spans="3:43" ht="15.75" customHeight="1" x14ac:dyDescent="0.2">
      <c r="C198" s="42"/>
      <c r="AP198" s="41"/>
      <c r="AQ198" s="41"/>
    </row>
    <row r="199" spans="3:43" ht="15.75" customHeight="1" x14ac:dyDescent="0.2">
      <c r="C199" s="42"/>
      <c r="AP199" s="41"/>
      <c r="AQ199" s="41"/>
    </row>
    <row r="200" spans="3:43" ht="15.75" customHeight="1" x14ac:dyDescent="0.2">
      <c r="C200" s="42"/>
      <c r="AP200" s="41"/>
      <c r="AQ200" s="41"/>
    </row>
    <row r="201" spans="3:43" ht="15.75" customHeight="1" x14ac:dyDescent="0.2">
      <c r="C201" s="42"/>
      <c r="AP201" s="41"/>
      <c r="AQ201" s="41"/>
    </row>
    <row r="202" spans="3:43" ht="15.75" customHeight="1" x14ac:dyDescent="0.2">
      <c r="C202" s="42"/>
      <c r="AP202" s="41"/>
      <c r="AQ202" s="41"/>
    </row>
    <row r="203" spans="3:43" ht="15.75" customHeight="1" x14ac:dyDescent="0.2">
      <c r="C203" s="42"/>
      <c r="AP203" s="41"/>
      <c r="AQ203" s="41"/>
    </row>
    <row r="204" spans="3:43" ht="15.75" customHeight="1" x14ac:dyDescent="0.2">
      <c r="C204" s="42"/>
      <c r="AP204" s="41"/>
      <c r="AQ204" s="41"/>
    </row>
    <row r="205" spans="3:43" ht="15.75" customHeight="1" x14ac:dyDescent="0.2">
      <c r="C205" s="42"/>
      <c r="AP205" s="41"/>
      <c r="AQ205" s="41"/>
    </row>
    <row r="206" spans="3:43" ht="15.75" customHeight="1" x14ac:dyDescent="0.2">
      <c r="C206" s="42"/>
      <c r="AP206" s="41"/>
      <c r="AQ206" s="41"/>
    </row>
    <row r="207" spans="3:43" ht="15.75" customHeight="1" x14ac:dyDescent="0.2">
      <c r="C207" s="42"/>
      <c r="AP207" s="41"/>
      <c r="AQ207" s="41"/>
    </row>
    <row r="208" spans="3:43" ht="15.75" customHeight="1" x14ac:dyDescent="0.2">
      <c r="C208" s="42"/>
      <c r="AP208" s="41"/>
      <c r="AQ208" s="41"/>
    </row>
    <row r="209" spans="3:43" ht="15.75" customHeight="1" x14ac:dyDescent="0.2">
      <c r="C209" s="42"/>
      <c r="AP209" s="41"/>
      <c r="AQ209" s="41"/>
    </row>
    <row r="210" spans="3:43" ht="15.75" customHeight="1" x14ac:dyDescent="0.2">
      <c r="C210" s="42"/>
      <c r="AP210" s="41"/>
      <c r="AQ210" s="41"/>
    </row>
    <row r="211" spans="3:43" ht="15.75" customHeight="1" x14ac:dyDescent="0.2">
      <c r="C211" s="42"/>
      <c r="AP211" s="41"/>
      <c r="AQ211" s="41"/>
    </row>
    <row r="212" spans="3:43" ht="15.75" customHeight="1" x14ac:dyDescent="0.2">
      <c r="C212" s="42"/>
      <c r="AP212" s="41"/>
      <c r="AQ212" s="41"/>
    </row>
    <row r="213" spans="3:43" ht="15.75" customHeight="1" x14ac:dyDescent="0.2">
      <c r="C213" s="42"/>
      <c r="AP213" s="41"/>
      <c r="AQ213" s="41"/>
    </row>
    <row r="214" spans="3:43" ht="15.75" customHeight="1" x14ac:dyDescent="0.2">
      <c r="C214" s="42"/>
      <c r="AP214" s="41"/>
      <c r="AQ214" s="41"/>
    </row>
    <row r="215" spans="3:43" ht="15.75" customHeight="1" x14ac:dyDescent="0.2">
      <c r="C215" s="42"/>
      <c r="AP215" s="41"/>
      <c r="AQ215" s="41"/>
    </row>
    <row r="216" spans="3:43" ht="15.75" customHeight="1" x14ac:dyDescent="0.2">
      <c r="C216" s="42"/>
      <c r="AP216" s="41"/>
      <c r="AQ216" s="41"/>
    </row>
    <row r="217" spans="3:43" ht="15.75" customHeight="1" x14ac:dyDescent="0.2">
      <c r="C217" s="42"/>
      <c r="AP217" s="41"/>
      <c r="AQ217" s="41"/>
    </row>
    <row r="218" spans="3:43" ht="15.75" customHeight="1" x14ac:dyDescent="0.2">
      <c r="C218" s="42"/>
      <c r="AP218" s="41"/>
      <c r="AQ218" s="41"/>
    </row>
    <row r="219" spans="3:43" ht="15.75" customHeight="1" x14ac:dyDescent="0.2">
      <c r="C219" s="42"/>
      <c r="AP219" s="41"/>
      <c r="AQ219" s="41"/>
    </row>
    <row r="220" spans="3:43" ht="15.75" customHeight="1" x14ac:dyDescent="0.2">
      <c r="C220" s="42"/>
      <c r="AP220" s="41"/>
      <c r="AQ220" s="41"/>
    </row>
    <row r="221" spans="3:43" ht="15.75" customHeight="1" x14ac:dyDescent="0.2">
      <c r="C221" s="42"/>
      <c r="AP221" s="41"/>
      <c r="AQ221" s="41"/>
    </row>
    <row r="222" spans="3:43" ht="15.75" customHeight="1" x14ac:dyDescent="0.2">
      <c r="C222" s="42"/>
      <c r="AP222" s="41"/>
      <c r="AQ222" s="41"/>
    </row>
    <row r="223" spans="3:43" ht="15.75" customHeight="1" x14ac:dyDescent="0.2">
      <c r="C223" s="42"/>
      <c r="AP223" s="41"/>
      <c r="AQ223" s="41"/>
    </row>
    <row r="224" spans="3:43" ht="15.75" customHeight="1" x14ac:dyDescent="0.2">
      <c r="C224" s="42"/>
      <c r="AP224" s="41"/>
      <c r="AQ224" s="41"/>
    </row>
    <row r="225" spans="3:43" ht="15.75" customHeight="1" x14ac:dyDescent="0.2">
      <c r="C225" s="42"/>
      <c r="AP225" s="41"/>
      <c r="AQ225" s="41"/>
    </row>
    <row r="226" spans="3:43" ht="15.75" customHeight="1" x14ac:dyDescent="0.2">
      <c r="C226" s="42"/>
      <c r="AP226" s="41"/>
      <c r="AQ226" s="41"/>
    </row>
    <row r="227" spans="3:43" ht="15.75" customHeight="1" x14ac:dyDescent="0.2">
      <c r="C227" s="42"/>
      <c r="AP227" s="41"/>
      <c r="AQ227" s="41"/>
    </row>
    <row r="228" spans="3:43" ht="15.75" customHeight="1" x14ac:dyDescent="0.2">
      <c r="C228" s="42"/>
      <c r="AP228" s="41"/>
      <c r="AQ228" s="41"/>
    </row>
    <row r="229" spans="3:43" ht="15.75" customHeight="1" x14ac:dyDescent="0.2">
      <c r="C229" s="42"/>
      <c r="AP229" s="41"/>
      <c r="AQ229" s="41"/>
    </row>
    <row r="230" spans="3:43" ht="15.75" customHeight="1" x14ac:dyDescent="0.2">
      <c r="C230" s="42"/>
      <c r="AP230" s="41"/>
      <c r="AQ230" s="41"/>
    </row>
    <row r="231" spans="3:43" ht="15.75" customHeight="1" x14ac:dyDescent="0.2">
      <c r="C231" s="42"/>
      <c r="AP231" s="41"/>
      <c r="AQ231" s="41"/>
    </row>
    <row r="232" spans="3:43" ht="15.75" customHeight="1" x14ac:dyDescent="0.2">
      <c r="C232" s="42"/>
      <c r="AP232" s="41"/>
      <c r="AQ232" s="41"/>
    </row>
    <row r="233" spans="3:43" ht="15.75" customHeight="1" x14ac:dyDescent="0.2">
      <c r="C233" s="42"/>
      <c r="AP233" s="41"/>
      <c r="AQ233" s="41"/>
    </row>
    <row r="234" spans="3:43" ht="15.75" customHeight="1" x14ac:dyDescent="0.2">
      <c r="C234" s="42"/>
      <c r="AP234" s="41"/>
      <c r="AQ234" s="41"/>
    </row>
    <row r="235" spans="3:43" ht="15.75" customHeight="1" x14ac:dyDescent="0.2">
      <c r="C235" s="42"/>
      <c r="AP235" s="41"/>
      <c r="AQ235" s="41"/>
    </row>
    <row r="236" spans="3:43" ht="15.75" customHeight="1" x14ac:dyDescent="0.2">
      <c r="C236" s="42"/>
      <c r="AP236" s="41"/>
      <c r="AQ236" s="41"/>
    </row>
    <row r="237" spans="3:43" ht="15.75" customHeight="1" x14ac:dyDescent="0.2">
      <c r="C237" s="42"/>
      <c r="AP237" s="41"/>
      <c r="AQ237" s="41"/>
    </row>
    <row r="238" spans="3:43" ht="15.75" customHeight="1" x14ac:dyDescent="0.2">
      <c r="C238" s="42"/>
      <c r="AP238" s="41"/>
      <c r="AQ238" s="41"/>
    </row>
    <row r="239" spans="3:43" ht="15.75" customHeight="1" x14ac:dyDescent="0.2">
      <c r="C239" s="42"/>
      <c r="AP239" s="41"/>
      <c r="AQ239" s="41"/>
    </row>
    <row r="240" spans="3:43" ht="15.75" customHeight="1" x14ac:dyDescent="0.2">
      <c r="C240" s="42"/>
      <c r="AP240" s="41"/>
      <c r="AQ240" s="41"/>
    </row>
    <row r="241" spans="3:43" ht="15.75" customHeight="1" x14ac:dyDescent="0.2">
      <c r="C241" s="42"/>
      <c r="AP241" s="41"/>
      <c r="AQ241" s="41"/>
    </row>
    <row r="242" spans="3:43" ht="15.75" customHeight="1" x14ac:dyDescent="0.2">
      <c r="C242" s="42"/>
      <c r="AP242" s="41"/>
      <c r="AQ242" s="41"/>
    </row>
    <row r="243" spans="3:43" ht="15.75" customHeight="1" x14ac:dyDescent="0.2">
      <c r="C243" s="42"/>
      <c r="AP243" s="41"/>
      <c r="AQ243" s="41"/>
    </row>
    <row r="244" spans="3:43" ht="15.75" customHeight="1" x14ac:dyDescent="0.2">
      <c r="C244" s="42"/>
      <c r="AP244" s="41"/>
      <c r="AQ244" s="41"/>
    </row>
    <row r="245" spans="3:43" ht="15.75" customHeight="1" x14ac:dyDescent="0.2">
      <c r="C245" s="42"/>
      <c r="AP245" s="41"/>
      <c r="AQ245" s="41"/>
    </row>
    <row r="246" spans="3:43" ht="15.75" customHeight="1" x14ac:dyDescent="0.2">
      <c r="C246" s="42"/>
      <c r="AP246" s="41"/>
      <c r="AQ246" s="41"/>
    </row>
    <row r="247" spans="3:43" ht="15.75" customHeight="1" x14ac:dyDescent="0.2">
      <c r="C247" s="42"/>
      <c r="AP247" s="41"/>
      <c r="AQ247" s="41"/>
    </row>
    <row r="248" spans="3:43" ht="15.75" customHeight="1" x14ac:dyDescent="0.2">
      <c r="C248" s="42"/>
      <c r="AP248" s="41"/>
      <c r="AQ248" s="41"/>
    </row>
    <row r="249" spans="3:43" ht="15.75" customHeight="1" x14ac:dyDescent="0.2">
      <c r="C249" s="42"/>
      <c r="AP249" s="41"/>
      <c r="AQ249" s="41"/>
    </row>
    <row r="250" spans="3:43" ht="15.75" customHeight="1" x14ac:dyDescent="0.2">
      <c r="C250" s="42"/>
      <c r="AP250" s="41"/>
      <c r="AQ250" s="41"/>
    </row>
    <row r="251" spans="3:43" ht="15.75" customHeight="1" x14ac:dyDescent="0.2">
      <c r="C251" s="42"/>
      <c r="AP251" s="41"/>
      <c r="AQ251" s="41"/>
    </row>
    <row r="252" spans="3:43" ht="15.75" customHeight="1" x14ac:dyDescent="0.2">
      <c r="C252" s="42"/>
      <c r="AP252" s="41"/>
      <c r="AQ252" s="41"/>
    </row>
    <row r="253" spans="3:43" ht="15.75" customHeight="1" x14ac:dyDescent="0.2">
      <c r="C253" s="42"/>
      <c r="AP253" s="41"/>
      <c r="AQ253" s="41"/>
    </row>
    <row r="254" spans="3:43" ht="15.75" customHeight="1" x14ac:dyDescent="0.2">
      <c r="C254" s="42"/>
      <c r="AP254" s="41"/>
      <c r="AQ254" s="41"/>
    </row>
    <row r="255" spans="3:43" ht="15.75" customHeight="1" x14ac:dyDescent="0.2">
      <c r="C255" s="42"/>
      <c r="AP255" s="41"/>
      <c r="AQ255" s="41"/>
    </row>
    <row r="256" spans="3:43" ht="15.75" customHeight="1" x14ac:dyDescent="0.2">
      <c r="C256" s="42"/>
      <c r="AP256" s="41"/>
      <c r="AQ256" s="41"/>
    </row>
    <row r="257" spans="3:43" ht="15.75" customHeight="1" x14ac:dyDescent="0.2">
      <c r="C257" s="42"/>
      <c r="AP257" s="41"/>
      <c r="AQ257" s="41"/>
    </row>
    <row r="258" spans="3:43" ht="15.75" customHeight="1" x14ac:dyDescent="0.2">
      <c r="C258" s="42"/>
      <c r="AP258" s="41"/>
      <c r="AQ258" s="41"/>
    </row>
    <row r="259" spans="3:43" ht="15.75" customHeight="1" x14ac:dyDescent="0.2">
      <c r="C259" s="42"/>
      <c r="AP259" s="41"/>
      <c r="AQ259" s="41"/>
    </row>
    <row r="260" spans="3:43" ht="15.75" customHeight="1" x14ac:dyDescent="0.2">
      <c r="C260" s="42"/>
      <c r="AP260" s="41"/>
      <c r="AQ260" s="41"/>
    </row>
    <row r="261" spans="3:43" ht="15.75" customHeight="1" x14ac:dyDescent="0.2">
      <c r="C261" s="42"/>
      <c r="AP261" s="41"/>
      <c r="AQ261" s="41"/>
    </row>
    <row r="262" spans="3:43" ht="15.75" customHeight="1" x14ac:dyDescent="0.2">
      <c r="C262" s="42"/>
      <c r="AP262" s="41"/>
      <c r="AQ262" s="41"/>
    </row>
    <row r="263" spans="3:43" ht="15.75" customHeight="1" x14ac:dyDescent="0.2">
      <c r="C263" s="42"/>
      <c r="AP263" s="41"/>
      <c r="AQ263" s="41"/>
    </row>
    <row r="264" spans="3:43" ht="15.75" customHeight="1" x14ac:dyDescent="0.2">
      <c r="C264" s="42"/>
      <c r="AP264" s="41"/>
      <c r="AQ264" s="41"/>
    </row>
    <row r="265" spans="3:43" ht="15.75" customHeight="1" x14ac:dyDescent="0.2">
      <c r="C265" s="42"/>
      <c r="AP265" s="41"/>
      <c r="AQ265" s="41"/>
    </row>
    <row r="266" spans="3:43" ht="15.75" customHeight="1" x14ac:dyDescent="0.2">
      <c r="C266" s="42"/>
      <c r="AP266" s="41"/>
      <c r="AQ266" s="41"/>
    </row>
    <row r="267" spans="3:43" ht="15.75" customHeight="1" x14ac:dyDescent="0.2">
      <c r="C267" s="42"/>
      <c r="AP267" s="41"/>
      <c r="AQ267" s="41"/>
    </row>
    <row r="268" spans="3:43" ht="15.75" customHeight="1" x14ac:dyDescent="0.2">
      <c r="C268" s="42"/>
      <c r="AP268" s="41"/>
      <c r="AQ268" s="41"/>
    </row>
    <row r="269" spans="3:43" ht="15.75" customHeight="1" x14ac:dyDescent="0.2">
      <c r="C269" s="42"/>
      <c r="AP269" s="41"/>
      <c r="AQ269" s="41"/>
    </row>
    <row r="270" spans="3:43" ht="15.75" customHeight="1" x14ac:dyDescent="0.2">
      <c r="C270" s="42"/>
      <c r="AP270" s="41"/>
      <c r="AQ270" s="41"/>
    </row>
    <row r="271" spans="3:43" ht="15.75" customHeight="1" x14ac:dyDescent="0.2">
      <c r="C271" s="42"/>
      <c r="AP271" s="41"/>
      <c r="AQ271" s="41"/>
    </row>
    <row r="272" spans="3:43" ht="15.75" customHeight="1" x14ac:dyDescent="0.2">
      <c r="C272" s="42"/>
      <c r="AP272" s="41"/>
      <c r="AQ272" s="41"/>
    </row>
    <row r="273" spans="3:43" ht="15.75" customHeight="1" x14ac:dyDescent="0.2">
      <c r="C273" s="42"/>
      <c r="AP273" s="41"/>
      <c r="AQ273" s="41"/>
    </row>
    <row r="274" spans="3:43" ht="15.75" customHeight="1" x14ac:dyDescent="0.2">
      <c r="C274" s="42"/>
      <c r="AP274" s="41"/>
      <c r="AQ274" s="41"/>
    </row>
    <row r="275" spans="3:43" ht="15.75" customHeight="1" x14ac:dyDescent="0.2">
      <c r="C275" s="42"/>
      <c r="AP275" s="41"/>
      <c r="AQ275" s="41"/>
    </row>
    <row r="276" spans="3:43" ht="15.75" customHeight="1" x14ac:dyDescent="0.2">
      <c r="C276" s="42"/>
      <c r="AP276" s="41"/>
      <c r="AQ276" s="41"/>
    </row>
    <row r="277" spans="3:43" ht="15.75" customHeight="1" x14ac:dyDescent="0.2">
      <c r="C277" s="42"/>
      <c r="AP277" s="41"/>
      <c r="AQ277" s="41"/>
    </row>
    <row r="278" spans="3:43" ht="15.75" customHeight="1" x14ac:dyDescent="0.2">
      <c r="C278" s="42"/>
      <c r="AP278" s="41"/>
      <c r="AQ278" s="41"/>
    </row>
    <row r="279" spans="3:43" ht="15.75" customHeight="1" x14ac:dyDescent="0.2">
      <c r="C279" s="42"/>
      <c r="AP279" s="41"/>
      <c r="AQ279" s="41"/>
    </row>
    <row r="280" spans="3:43" ht="15.75" customHeight="1" x14ac:dyDescent="0.2">
      <c r="C280" s="42"/>
      <c r="AP280" s="41"/>
      <c r="AQ280" s="41"/>
    </row>
    <row r="281" spans="3:43" ht="15.75" customHeight="1" x14ac:dyDescent="0.2">
      <c r="C281" s="42"/>
      <c r="AP281" s="41"/>
      <c r="AQ281" s="41"/>
    </row>
    <row r="282" spans="3:43" ht="15.75" customHeight="1" x14ac:dyDescent="0.2">
      <c r="C282" s="42"/>
      <c r="AP282" s="41"/>
      <c r="AQ282" s="41"/>
    </row>
    <row r="283" spans="3:43" ht="15.75" customHeight="1" x14ac:dyDescent="0.2">
      <c r="C283" s="42"/>
      <c r="AP283" s="41"/>
      <c r="AQ283" s="41"/>
    </row>
    <row r="284" spans="3:43" ht="15.75" customHeight="1" x14ac:dyDescent="0.2">
      <c r="C284" s="42"/>
      <c r="AP284" s="41"/>
      <c r="AQ284" s="41"/>
    </row>
    <row r="285" spans="3:43" ht="15.75" customHeight="1" x14ac:dyDescent="0.2">
      <c r="C285" s="42"/>
      <c r="AP285" s="41"/>
      <c r="AQ285" s="41"/>
    </row>
    <row r="286" spans="3:43" ht="15.75" customHeight="1" x14ac:dyDescent="0.2">
      <c r="C286" s="42"/>
      <c r="AP286" s="41"/>
      <c r="AQ286" s="41"/>
    </row>
    <row r="287" spans="3:43" ht="15.75" customHeight="1" x14ac:dyDescent="0.2">
      <c r="C287" s="42"/>
      <c r="AP287" s="41"/>
      <c r="AQ287" s="41"/>
    </row>
    <row r="288" spans="3:43" ht="15.75" customHeight="1" x14ac:dyDescent="0.2">
      <c r="C288" s="42"/>
      <c r="AP288" s="41"/>
      <c r="AQ288" s="41"/>
    </row>
    <row r="289" spans="3:43" ht="15.75" customHeight="1" x14ac:dyDescent="0.2">
      <c r="C289" s="42"/>
      <c r="AP289" s="41"/>
      <c r="AQ289" s="41"/>
    </row>
    <row r="290" spans="3:43" ht="15.75" customHeight="1" x14ac:dyDescent="0.2">
      <c r="C290" s="42"/>
      <c r="AP290" s="41"/>
      <c r="AQ290" s="41"/>
    </row>
    <row r="291" spans="3:43" ht="15.75" customHeight="1" x14ac:dyDescent="0.2">
      <c r="C291" s="42"/>
      <c r="AP291" s="41"/>
      <c r="AQ291" s="41"/>
    </row>
    <row r="292" spans="3:43" ht="15.75" customHeight="1" x14ac:dyDescent="0.2">
      <c r="C292" s="42"/>
      <c r="AP292" s="41"/>
      <c r="AQ292" s="41"/>
    </row>
    <row r="293" spans="3:43" ht="15.75" customHeight="1" x14ac:dyDescent="0.2">
      <c r="C293" s="42"/>
      <c r="AP293" s="41"/>
      <c r="AQ293" s="41"/>
    </row>
    <row r="294" spans="3:43" ht="15.75" customHeight="1" x14ac:dyDescent="0.2">
      <c r="C294" s="42"/>
      <c r="AP294" s="41"/>
      <c r="AQ294" s="41"/>
    </row>
    <row r="295" spans="3:43" ht="15.75" customHeight="1" x14ac:dyDescent="0.2">
      <c r="C295" s="42"/>
      <c r="AP295" s="41"/>
      <c r="AQ295" s="41"/>
    </row>
    <row r="296" spans="3:43" ht="15.75" customHeight="1" x14ac:dyDescent="0.2">
      <c r="C296" s="42"/>
      <c r="AP296" s="41"/>
      <c r="AQ296" s="41"/>
    </row>
    <row r="297" spans="3:43" ht="15.75" customHeight="1" x14ac:dyDescent="0.2">
      <c r="C297" s="42"/>
      <c r="AP297" s="41"/>
      <c r="AQ297" s="41"/>
    </row>
    <row r="298" spans="3:43" ht="15.75" customHeight="1" x14ac:dyDescent="0.2">
      <c r="C298" s="42"/>
      <c r="AP298" s="41"/>
      <c r="AQ298" s="41"/>
    </row>
    <row r="299" spans="3:43" ht="15.75" customHeight="1" x14ac:dyDescent="0.2">
      <c r="C299" s="42"/>
      <c r="AP299" s="41"/>
      <c r="AQ299" s="41"/>
    </row>
    <row r="300" spans="3:43" ht="15.75" customHeight="1" x14ac:dyDescent="0.2">
      <c r="C300" s="42"/>
      <c r="AP300" s="41"/>
      <c r="AQ300" s="41"/>
    </row>
    <row r="301" spans="3:43" ht="15.75" customHeight="1" x14ac:dyDescent="0.2">
      <c r="C301" s="42"/>
      <c r="AP301" s="41"/>
      <c r="AQ301" s="41"/>
    </row>
    <row r="302" spans="3:43" ht="15.75" customHeight="1" x14ac:dyDescent="0.2">
      <c r="C302" s="42"/>
      <c r="AP302" s="41"/>
      <c r="AQ302" s="41"/>
    </row>
    <row r="303" spans="3:43" ht="15.75" customHeight="1" x14ac:dyDescent="0.2">
      <c r="C303" s="42"/>
      <c r="AP303" s="41"/>
      <c r="AQ303" s="41"/>
    </row>
    <row r="304" spans="3:43" ht="15.75" customHeight="1" x14ac:dyDescent="0.2">
      <c r="C304" s="42"/>
      <c r="AP304" s="41"/>
      <c r="AQ304" s="41"/>
    </row>
    <row r="305" spans="3:43" ht="15.75" customHeight="1" x14ac:dyDescent="0.2">
      <c r="C305" s="42"/>
      <c r="AP305" s="41"/>
      <c r="AQ305" s="41"/>
    </row>
    <row r="306" spans="3:43" ht="15.75" customHeight="1" x14ac:dyDescent="0.2">
      <c r="C306" s="42"/>
      <c r="AP306" s="41"/>
      <c r="AQ306" s="41"/>
    </row>
    <row r="307" spans="3:43" ht="15.75" customHeight="1" x14ac:dyDescent="0.2">
      <c r="C307" s="42"/>
      <c r="AP307" s="41"/>
      <c r="AQ307" s="41"/>
    </row>
    <row r="308" spans="3:43" ht="15.75" customHeight="1" x14ac:dyDescent="0.2">
      <c r="C308" s="42"/>
      <c r="AP308" s="41"/>
      <c r="AQ308" s="41"/>
    </row>
    <row r="309" spans="3:43" ht="15.75" customHeight="1" x14ac:dyDescent="0.2">
      <c r="C309" s="42"/>
      <c r="AP309" s="41"/>
      <c r="AQ309" s="41"/>
    </row>
    <row r="310" spans="3:43" ht="15.75" customHeight="1" x14ac:dyDescent="0.2">
      <c r="C310" s="42"/>
      <c r="AP310" s="41"/>
      <c r="AQ310" s="41"/>
    </row>
    <row r="311" spans="3:43" ht="15.75" customHeight="1" x14ac:dyDescent="0.2">
      <c r="C311" s="42"/>
      <c r="AP311" s="41"/>
      <c r="AQ311" s="41"/>
    </row>
    <row r="312" spans="3:43" ht="15.75" customHeight="1" x14ac:dyDescent="0.2">
      <c r="C312" s="42"/>
      <c r="AP312" s="41"/>
      <c r="AQ312" s="41"/>
    </row>
    <row r="313" spans="3:43" ht="15.75" customHeight="1" x14ac:dyDescent="0.2">
      <c r="C313" s="42"/>
      <c r="AP313" s="41"/>
      <c r="AQ313" s="41"/>
    </row>
    <row r="314" spans="3:43" ht="15.75" customHeight="1" x14ac:dyDescent="0.2">
      <c r="C314" s="42"/>
      <c r="AP314" s="41"/>
      <c r="AQ314" s="41"/>
    </row>
    <row r="315" spans="3:43" ht="15.75" customHeight="1" x14ac:dyDescent="0.2">
      <c r="C315" s="42"/>
      <c r="AP315" s="41"/>
      <c r="AQ315" s="41"/>
    </row>
    <row r="316" spans="3:43" ht="15.75" customHeight="1" x14ac:dyDescent="0.2">
      <c r="C316" s="42"/>
      <c r="AP316" s="41"/>
      <c r="AQ316" s="41"/>
    </row>
    <row r="317" spans="3:43" ht="15.75" customHeight="1" x14ac:dyDescent="0.2">
      <c r="C317" s="42"/>
      <c r="AP317" s="41"/>
      <c r="AQ317" s="41"/>
    </row>
    <row r="318" spans="3:43" ht="15.75" customHeight="1" x14ac:dyDescent="0.2">
      <c r="C318" s="42"/>
      <c r="AP318" s="41"/>
      <c r="AQ318" s="41"/>
    </row>
    <row r="319" spans="3:43" ht="15.75" customHeight="1" x14ac:dyDescent="0.2">
      <c r="C319" s="42"/>
      <c r="AP319" s="41"/>
      <c r="AQ319" s="41"/>
    </row>
    <row r="320" spans="3:43" ht="15.75" customHeight="1" x14ac:dyDescent="0.2">
      <c r="C320" s="42"/>
      <c r="AP320" s="41"/>
      <c r="AQ320" s="41"/>
    </row>
    <row r="321" spans="3:43" ht="15.75" customHeight="1" x14ac:dyDescent="0.2">
      <c r="C321" s="42"/>
      <c r="AP321" s="41"/>
      <c r="AQ321" s="41"/>
    </row>
    <row r="322" spans="3:43" ht="15.75" customHeight="1" x14ac:dyDescent="0.2">
      <c r="C322" s="42"/>
      <c r="AP322" s="41"/>
      <c r="AQ322" s="41"/>
    </row>
    <row r="323" spans="3:43" ht="15.75" customHeight="1" x14ac:dyDescent="0.2">
      <c r="C323" s="42"/>
      <c r="AP323" s="41"/>
      <c r="AQ323" s="41"/>
    </row>
    <row r="324" spans="3:43" ht="15.75" customHeight="1" x14ac:dyDescent="0.2">
      <c r="C324" s="42"/>
      <c r="AP324" s="41"/>
      <c r="AQ324" s="41"/>
    </row>
    <row r="325" spans="3:43" ht="15.75" customHeight="1" x14ac:dyDescent="0.2">
      <c r="C325" s="42"/>
      <c r="AP325" s="41"/>
      <c r="AQ325" s="41"/>
    </row>
    <row r="326" spans="3:43" ht="15.75" customHeight="1" x14ac:dyDescent="0.2">
      <c r="C326" s="42"/>
      <c r="AP326" s="41"/>
      <c r="AQ326" s="41"/>
    </row>
    <row r="327" spans="3:43" ht="15.75" customHeight="1" x14ac:dyDescent="0.2">
      <c r="C327" s="42"/>
      <c r="AP327" s="41"/>
      <c r="AQ327" s="41"/>
    </row>
    <row r="328" spans="3:43" ht="15.75" customHeight="1" x14ac:dyDescent="0.2">
      <c r="C328" s="42"/>
      <c r="AP328" s="41"/>
      <c r="AQ328" s="41"/>
    </row>
    <row r="329" spans="3:43" ht="15.75" customHeight="1" x14ac:dyDescent="0.2">
      <c r="C329" s="42"/>
      <c r="AP329" s="41"/>
      <c r="AQ329" s="41"/>
    </row>
    <row r="330" spans="3:43" ht="15.75" customHeight="1" x14ac:dyDescent="0.2">
      <c r="C330" s="42"/>
      <c r="AP330" s="41"/>
      <c r="AQ330" s="41"/>
    </row>
    <row r="331" spans="3:43" ht="15.75" customHeight="1" x14ac:dyDescent="0.2">
      <c r="C331" s="42"/>
      <c r="AP331" s="41"/>
      <c r="AQ331" s="41"/>
    </row>
    <row r="332" spans="3:43" ht="15.75" customHeight="1" x14ac:dyDescent="0.2">
      <c r="C332" s="42"/>
      <c r="AP332" s="41"/>
      <c r="AQ332" s="41"/>
    </row>
    <row r="333" spans="3:43" ht="15.75" customHeight="1" x14ac:dyDescent="0.2">
      <c r="C333" s="42"/>
      <c r="AP333" s="41"/>
      <c r="AQ333" s="41"/>
    </row>
    <row r="334" spans="3:43" ht="15.75" customHeight="1" x14ac:dyDescent="0.2">
      <c r="C334" s="42"/>
      <c r="AP334" s="41"/>
      <c r="AQ334" s="41"/>
    </row>
    <row r="335" spans="3:43" ht="15.75" customHeight="1" x14ac:dyDescent="0.2">
      <c r="C335" s="42"/>
      <c r="AP335" s="41"/>
      <c r="AQ335" s="41"/>
    </row>
    <row r="336" spans="3:43" ht="15.75" customHeight="1" x14ac:dyDescent="0.2">
      <c r="C336" s="42"/>
      <c r="AP336" s="41"/>
      <c r="AQ336" s="41"/>
    </row>
    <row r="337" spans="3:43" ht="15.75" customHeight="1" x14ac:dyDescent="0.2">
      <c r="C337" s="42"/>
      <c r="AP337" s="41"/>
      <c r="AQ337" s="41"/>
    </row>
    <row r="338" spans="3:43" ht="15.75" customHeight="1" x14ac:dyDescent="0.2">
      <c r="C338" s="42"/>
      <c r="AP338" s="41"/>
      <c r="AQ338" s="41"/>
    </row>
    <row r="339" spans="3:43" ht="15.75" customHeight="1" x14ac:dyDescent="0.2">
      <c r="C339" s="42"/>
      <c r="AP339" s="41"/>
      <c r="AQ339" s="41"/>
    </row>
    <row r="340" spans="3:43" ht="15.75" customHeight="1" x14ac:dyDescent="0.2">
      <c r="C340" s="42"/>
      <c r="AP340" s="41"/>
      <c r="AQ340" s="41"/>
    </row>
    <row r="341" spans="3:43" ht="15.75" customHeight="1" x14ac:dyDescent="0.2">
      <c r="C341" s="42"/>
      <c r="AP341" s="41"/>
      <c r="AQ341" s="41"/>
    </row>
    <row r="342" spans="3:43" ht="15.75" customHeight="1" x14ac:dyDescent="0.2">
      <c r="C342" s="42"/>
      <c r="AP342" s="41"/>
      <c r="AQ342" s="41"/>
    </row>
    <row r="343" spans="3:43" ht="15.75" customHeight="1" x14ac:dyDescent="0.2">
      <c r="C343" s="42"/>
      <c r="AP343" s="41"/>
      <c r="AQ343" s="41"/>
    </row>
    <row r="344" spans="3:43" ht="15.75" customHeight="1" x14ac:dyDescent="0.2">
      <c r="C344" s="42"/>
      <c r="AP344" s="41"/>
      <c r="AQ344" s="41"/>
    </row>
    <row r="345" spans="3:43" ht="15.75" customHeight="1" x14ac:dyDescent="0.2">
      <c r="C345" s="42"/>
      <c r="AP345" s="41"/>
      <c r="AQ345" s="41"/>
    </row>
    <row r="346" spans="3:43" ht="15.75" customHeight="1" x14ac:dyDescent="0.2">
      <c r="C346" s="42"/>
      <c r="AP346" s="41"/>
      <c r="AQ346" s="41"/>
    </row>
    <row r="347" spans="3:43" ht="15.75" customHeight="1" x14ac:dyDescent="0.2">
      <c r="C347" s="42"/>
      <c r="AP347" s="41"/>
      <c r="AQ347" s="41"/>
    </row>
    <row r="348" spans="3:43" ht="15.75" customHeight="1" x14ac:dyDescent="0.2">
      <c r="C348" s="42"/>
      <c r="AP348" s="41"/>
      <c r="AQ348" s="41"/>
    </row>
    <row r="349" spans="3:43" ht="15.75" customHeight="1" x14ac:dyDescent="0.2">
      <c r="C349" s="42"/>
      <c r="AP349" s="41"/>
      <c r="AQ349" s="41"/>
    </row>
    <row r="350" spans="3:43" ht="15.75" customHeight="1" x14ac:dyDescent="0.2">
      <c r="C350" s="42"/>
      <c r="AP350" s="41"/>
      <c r="AQ350" s="41"/>
    </row>
    <row r="351" spans="3:43" ht="15.75" customHeight="1" x14ac:dyDescent="0.2">
      <c r="C351" s="42"/>
      <c r="AP351" s="41"/>
      <c r="AQ351" s="41"/>
    </row>
    <row r="352" spans="3:43" ht="15.75" customHeight="1" x14ac:dyDescent="0.2">
      <c r="C352" s="42"/>
      <c r="AP352" s="41"/>
      <c r="AQ352" s="41"/>
    </row>
    <row r="353" spans="3:43" ht="15.75" customHeight="1" x14ac:dyDescent="0.2">
      <c r="C353" s="42"/>
      <c r="AP353" s="41"/>
      <c r="AQ353" s="41"/>
    </row>
    <row r="354" spans="3:43" ht="15.75" customHeight="1" x14ac:dyDescent="0.2">
      <c r="C354" s="42"/>
      <c r="AP354" s="41"/>
      <c r="AQ354" s="41"/>
    </row>
    <row r="355" spans="3:43" ht="15.75" customHeight="1" x14ac:dyDescent="0.2">
      <c r="C355" s="42"/>
      <c r="AP355" s="41"/>
      <c r="AQ355" s="41"/>
    </row>
    <row r="356" spans="3:43" ht="15.75" customHeight="1" x14ac:dyDescent="0.2">
      <c r="C356" s="42"/>
      <c r="AP356" s="41"/>
      <c r="AQ356" s="41"/>
    </row>
    <row r="357" spans="3:43" ht="15.75" customHeight="1" x14ac:dyDescent="0.2">
      <c r="C357" s="42"/>
      <c r="AP357" s="41"/>
      <c r="AQ357" s="41"/>
    </row>
    <row r="358" spans="3:43" ht="15.75" customHeight="1" x14ac:dyDescent="0.2">
      <c r="C358" s="42"/>
      <c r="AP358" s="41"/>
      <c r="AQ358" s="41"/>
    </row>
    <row r="359" spans="3:43" ht="15.75" customHeight="1" x14ac:dyDescent="0.2">
      <c r="C359" s="42"/>
      <c r="AP359" s="41"/>
      <c r="AQ359" s="41"/>
    </row>
    <row r="360" spans="3:43" ht="15.75" customHeight="1" x14ac:dyDescent="0.2">
      <c r="C360" s="42"/>
      <c r="AP360" s="41"/>
      <c r="AQ360" s="41"/>
    </row>
    <row r="361" spans="3:43" ht="15.75" customHeight="1" x14ac:dyDescent="0.2">
      <c r="C361" s="42"/>
      <c r="AP361" s="41"/>
      <c r="AQ361" s="41"/>
    </row>
    <row r="362" spans="3:43" ht="15.75" customHeight="1" x14ac:dyDescent="0.2">
      <c r="C362" s="42"/>
      <c r="AP362" s="41"/>
      <c r="AQ362" s="41"/>
    </row>
    <row r="363" spans="3:43" ht="15.75" customHeight="1" x14ac:dyDescent="0.2">
      <c r="C363" s="42"/>
      <c r="AP363" s="41"/>
      <c r="AQ363" s="41"/>
    </row>
    <row r="364" spans="3:43" ht="15.75" customHeight="1" x14ac:dyDescent="0.2">
      <c r="C364" s="42"/>
      <c r="AP364" s="41"/>
      <c r="AQ364" s="41"/>
    </row>
    <row r="365" spans="3:43" ht="15.75" customHeight="1" x14ac:dyDescent="0.2">
      <c r="C365" s="42"/>
      <c r="AP365" s="41"/>
      <c r="AQ365" s="41"/>
    </row>
    <row r="366" spans="3:43" ht="15.75" customHeight="1" x14ac:dyDescent="0.2">
      <c r="C366" s="42"/>
      <c r="AP366" s="41"/>
      <c r="AQ366" s="41"/>
    </row>
    <row r="367" spans="3:43" ht="15.75" customHeight="1" x14ac:dyDescent="0.2">
      <c r="C367" s="42"/>
      <c r="AP367" s="41"/>
      <c r="AQ367" s="41"/>
    </row>
    <row r="368" spans="3:43" ht="15.75" customHeight="1" x14ac:dyDescent="0.2">
      <c r="C368" s="42"/>
      <c r="AP368" s="41"/>
      <c r="AQ368" s="41"/>
    </row>
    <row r="369" spans="3:43" ht="15.75" customHeight="1" x14ac:dyDescent="0.2">
      <c r="C369" s="42"/>
      <c r="AP369" s="41"/>
      <c r="AQ369" s="41"/>
    </row>
    <row r="370" spans="3:43" ht="15.75" customHeight="1" x14ac:dyDescent="0.2">
      <c r="C370" s="42"/>
      <c r="AP370" s="41"/>
      <c r="AQ370" s="41"/>
    </row>
    <row r="371" spans="3:43" ht="15.75" customHeight="1" x14ac:dyDescent="0.2">
      <c r="C371" s="42"/>
      <c r="AP371" s="41"/>
      <c r="AQ371" s="41"/>
    </row>
    <row r="372" spans="3:43" ht="15.75" customHeight="1" x14ac:dyDescent="0.2">
      <c r="C372" s="42"/>
      <c r="AP372" s="41"/>
      <c r="AQ372" s="41"/>
    </row>
    <row r="373" spans="3:43" ht="15.75" customHeight="1" x14ac:dyDescent="0.2">
      <c r="C373" s="42"/>
      <c r="AP373" s="41"/>
      <c r="AQ373" s="41"/>
    </row>
    <row r="374" spans="3:43" ht="15.75" customHeight="1" x14ac:dyDescent="0.2">
      <c r="C374" s="42"/>
      <c r="AP374" s="41"/>
      <c r="AQ374" s="41"/>
    </row>
    <row r="375" spans="3:43" ht="15.75" customHeight="1" x14ac:dyDescent="0.2">
      <c r="C375" s="42"/>
      <c r="AP375" s="41"/>
      <c r="AQ375" s="41"/>
    </row>
    <row r="376" spans="3:43" ht="15.75" customHeight="1" x14ac:dyDescent="0.2">
      <c r="C376" s="42"/>
      <c r="AP376" s="41"/>
      <c r="AQ376" s="41"/>
    </row>
    <row r="377" spans="3:43" ht="15.75" customHeight="1" x14ac:dyDescent="0.2">
      <c r="C377" s="42"/>
      <c r="AP377" s="41"/>
      <c r="AQ377" s="41"/>
    </row>
    <row r="378" spans="3:43" ht="15.75" customHeight="1" x14ac:dyDescent="0.2">
      <c r="C378" s="42"/>
      <c r="AP378" s="41"/>
      <c r="AQ378" s="41"/>
    </row>
    <row r="379" spans="3:43" ht="15.75" customHeight="1" x14ac:dyDescent="0.2">
      <c r="C379" s="42"/>
      <c r="AP379" s="41"/>
      <c r="AQ379" s="41"/>
    </row>
    <row r="380" spans="3:43" ht="15.75" customHeight="1" x14ac:dyDescent="0.2">
      <c r="C380" s="42"/>
      <c r="AP380" s="41"/>
      <c r="AQ380" s="41"/>
    </row>
    <row r="381" spans="3:43" ht="15.75" customHeight="1" x14ac:dyDescent="0.2">
      <c r="C381" s="42"/>
      <c r="AP381" s="41"/>
      <c r="AQ381" s="41"/>
    </row>
    <row r="382" spans="3:43" ht="15.75" customHeight="1" x14ac:dyDescent="0.2">
      <c r="C382" s="42"/>
      <c r="AP382" s="41"/>
      <c r="AQ382" s="41"/>
    </row>
    <row r="383" spans="3:43" ht="15.75" customHeight="1" x14ac:dyDescent="0.2">
      <c r="C383" s="42"/>
      <c r="AP383" s="41"/>
      <c r="AQ383" s="41"/>
    </row>
    <row r="384" spans="3:43" ht="15.75" customHeight="1" x14ac:dyDescent="0.2">
      <c r="C384" s="42"/>
      <c r="AP384" s="41"/>
      <c r="AQ384" s="41"/>
    </row>
    <row r="385" spans="3:43" ht="15.75" customHeight="1" x14ac:dyDescent="0.2">
      <c r="C385" s="42"/>
      <c r="AP385" s="41"/>
      <c r="AQ385" s="41"/>
    </row>
    <row r="386" spans="3:43" ht="15.75" customHeight="1" x14ac:dyDescent="0.2">
      <c r="C386" s="42"/>
      <c r="AP386" s="41"/>
      <c r="AQ386" s="41"/>
    </row>
    <row r="387" spans="3:43" ht="15.75" customHeight="1" x14ac:dyDescent="0.2">
      <c r="C387" s="42"/>
      <c r="AP387" s="41"/>
      <c r="AQ387" s="41"/>
    </row>
    <row r="388" spans="3:43" ht="15.75" customHeight="1" x14ac:dyDescent="0.2">
      <c r="C388" s="42"/>
      <c r="AP388" s="41"/>
      <c r="AQ388" s="41"/>
    </row>
    <row r="389" spans="3:43" ht="15.75" customHeight="1" x14ac:dyDescent="0.2">
      <c r="C389" s="42"/>
      <c r="AP389" s="41"/>
      <c r="AQ389" s="41"/>
    </row>
    <row r="390" spans="3:43" ht="15.75" customHeight="1" x14ac:dyDescent="0.2">
      <c r="C390" s="42"/>
      <c r="AP390" s="41"/>
      <c r="AQ390" s="41"/>
    </row>
    <row r="391" spans="3:43" ht="15.75" customHeight="1" x14ac:dyDescent="0.2">
      <c r="C391" s="42"/>
      <c r="AP391" s="41"/>
      <c r="AQ391" s="41"/>
    </row>
    <row r="392" spans="3:43" ht="15.75" customHeight="1" x14ac:dyDescent="0.2">
      <c r="C392" s="42"/>
      <c r="AP392" s="41"/>
      <c r="AQ392" s="41"/>
    </row>
    <row r="393" spans="3:43" ht="15.75" customHeight="1" x14ac:dyDescent="0.2">
      <c r="C393" s="42"/>
      <c r="AP393" s="41"/>
      <c r="AQ393" s="41"/>
    </row>
    <row r="394" spans="3:43" ht="15.75" customHeight="1" x14ac:dyDescent="0.2">
      <c r="C394" s="42"/>
      <c r="AP394" s="41"/>
      <c r="AQ394" s="41"/>
    </row>
    <row r="395" spans="3:43" ht="15.75" customHeight="1" x14ac:dyDescent="0.2">
      <c r="C395" s="42"/>
      <c r="AP395" s="41"/>
      <c r="AQ395" s="41"/>
    </row>
    <row r="396" spans="3:43" ht="15.75" customHeight="1" x14ac:dyDescent="0.2">
      <c r="C396" s="42"/>
      <c r="AP396" s="41"/>
      <c r="AQ396" s="41"/>
    </row>
    <row r="397" spans="3:43" ht="15.75" customHeight="1" x14ac:dyDescent="0.2">
      <c r="C397" s="42"/>
      <c r="AP397" s="41"/>
      <c r="AQ397" s="41"/>
    </row>
    <row r="398" spans="3:43" ht="15.75" customHeight="1" x14ac:dyDescent="0.2">
      <c r="C398" s="42"/>
      <c r="AP398" s="41"/>
      <c r="AQ398" s="41"/>
    </row>
    <row r="399" spans="3:43" ht="15.75" customHeight="1" x14ac:dyDescent="0.2">
      <c r="C399" s="42"/>
      <c r="AP399" s="41"/>
      <c r="AQ399" s="41"/>
    </row>
    <row r="400" spans="3:43" ht="15.75" customHeight="1" x14ac:dyDescent="0.2">
      <c r="C400" s="42"/>
      <c r="AP400" s="41"/>
      <c r="AQ400" s="41"/>
    </row>
    <row r="401" spans="3:43" ht="15.75" customHeight="1" x14ac:dyDescent="0.2">
      <c r="C401" s="42"/>
      <c r="AP401" s="41"/>
      <c r="AQ401" s="41"/>
    </row>
    <row r="402" spans="3:43" ht="15.75" customHeight="1" x14ac:dyDescent="0.2">
      <c r="C402" s="42"/>
      <c r="AP402" s="41"/>
      <c r="AQ402" s="41"/>
    </row>
    <row r="403" spans="3:43" ht="15.75" customHeight="1" x14ac:dyDescent="0.2">
      <c r="C403" s="42"/>
      <c r="AP403" s="41"/>
      <c r="AQ403" s="41"/>
    </row>
    <row r="404" spans="3:43" ht="15.75" customHeight="1" x14ac:dyDescent="0.2">
      <c r="C404" s="42"/>
      <c r="AP404" s="41"/>
      <c r="AQ404" s="41"/>
    </row>
    <row r="405" spans="3:43" ht="15.75" customHeight="1" x14ac:dyDescent="0.2">
      <c r="C405" s="42"/>
      <c r="AP405" s="41"/>
      <c r="AQ405" s="41"/>
    </row>
    <row r="406" spans="3:43" ht="15.75" customHeight="1" x14ac:dyDescent="0.2">
      <c r="C406" s="42"/>
      <c r="AP406" s="41"/>
      <c r="AQ406" s="41"/>
    </row>
    <row r="407" spans="3:43" ht="15.75" customHeight="1" x14ac:dyDescent="0.2">
      <c r="C407" s="42"/>
      <c r="AP407" s="41"/>
      <c r="AQ407" s="41"/>
    </row>
    <row r="408" spans="3:43" ht="15.75" customHeight="1" x14ac:dyDescent="0.2">
      <c r="C408" s="42"/>
      <c r="AP408" s="41"/>
      <c r="AQ408" s="41"/>
    </row>
    <row r="409" spans="3:43" ht="15.75" customHeight="1" x14ac:dyDescent="0.2">
      <c r="C409" s="42"/>
      <c r="AP409" s="41"/>
      <c r="AQ409" s="41"/>
    </row>
    <row r="410" spans="3:43" ht="15.75" customHeight="1" x14ac:dyDescent="0.2">
      <c r="C410" s="42"/>
      <c r="AP410" s="41"/>
      <c r="AQ410" s="41"/>
    </row>
    <row r="411" spans="3:43" ht="15.75" customHeight="1" x14ac:dyDescent="0.2">
      <c r="C411" s="42"/>
      <c r="AP411" s="41"/>
      <c r="AQ411" s="41"/>
    </row>
    <row r="412" spans="3:43" ht="15.75" customHeight="1" x14ac:dyDescent="0.2">
      <c r="C412" s="42"/>
      <c r="AP412" s="41"/>
      <c r="AQ412" s="41"/>
    </row>
    <row r="413" spans="3:43" ht="15.75" customHeight="1" x14ac:dyDescent="0.2">
      <c r="C413" s="42"/>
      <c r="AP413" s="41"/>
      <c r="AQ413" s="41"/>
    </row>
    <row r="414" spans="3:43" ht="15.75" customHeight="1" x14ac:dyDescent="0.2">
      <c r="C414" s="42"/>
      <c r="AP414" s="41"/>
      <c r="AQ414" s="41"/>
    </row>
    <row r="415" spans="3:43" ht="15.75" customHeight="1" x14ac:dyDescent="0.2">
      <c r="C415" s="42"/>
      <c r="AP415" s="41"/>
      <c r="AQ415" s="41"/>
    </row>
    <row r="416" spans="3:43" ht="15.75" customHeight="1" x14ac:dyDescent="0.2">
      <c r="C416" s="42"/>
      <c r="AP416" s="41"/>
      <c r="AQ416" s="41"/>
    </row>
    <row r="417" spans="3:43" ht="15.75" customHeight="1" x14ac:dyDescent="0.2">
      <c r="C417" s="42"/>
      <c r="AP417" s="41"/>
      <c r="AQ417" s="41"/>
    </row>
    <row r="418" spans="3:43" ht="15.75" customHeight="1" x14ac:dyDescent="0.2">
      <c r="C418" s="42"/>
      <c r="AP418" s="41"/>
      <c r="AQ418" s="41"/>
    </row>
    <row r="419" spans="3:43" ht="15.75" customHeight="1" x14ac:dyDescent="0.2">
      <c r="C419" s="42"/>
      <c r="AP419" s="41"/>
      <c r="AQ419" s="41"/>
    </row>
    <row r="420" spans="3:43" ht="15.75" customHeight="1" x14ac:dyDescent="0.2">
      <c r="C420" s="42"/>
      <c r="AP420" s="41"/>
      <c r="AQ420" s="41"/>
    </row>
    <row r="421" spans="3:43" ht="15.75" customHeight="1" x14ac:dyDescent="0.2">
      <c r="C421" s="42"/>
      <c r="AP421" s="41"/>
      <c r="AQ421" s="41"/>
    </row>
    <row r="422" spans="3:43" ht="15.75" customHeight="1" x14ac:dyDescent="0.2">
      <c r="C422" s="42"/>
      <c r="AP422" s="41"/>
      <c r="AQ422" s="41"/>
    </row>
    <row r="423" spans="3:43" ht="15.75" customHeight="1" x14ac:dyDescent="0.2">
      <c r="C423" s="42"/>
      <c r="AP423" s="41"/>
      <c r="AQ423" s="41"/>
    </row>
    <row r="424" spans="3:43" ht="15.75" customHeight="1" x14ac:dyDescent="0.2">
      <c r="C424" s="42"/>
      <c r="AP424" s="41"/>
      <c r="AQ424" s="41"/>
    </row>
    <row r="425" spans="3:43" ht="15.75" customHeight="1" x14ac:dyDescent="0.2">
      <c r="C425" s="42"/>
      <c r="AP425" s="41"/>
      <c r="AQ425" s="41"/>
    </row>
    <row r="426" spans="3:43" ht="15.75" customHeight="1" x14ac:dyDescent="0.2">
      <c r="C426" s="42"/>
      <c r="AP426" s="41"/>
      <c r="AQ426" s="41"/>
    </row>
    <row r="427" spans="3:43" ht="15.75" customHeight="1" x14ac:dyDescent="0.2">
      <c r="C427" s="42"/>
      <c r="AP427" s="41"/>
      <c r="AQ427" s="41"/>
    </row>
    <row r="428" spans="3:43" ht="15.75" customHeight="1" x14ac:dyDescent="0.2">
      <c r="C428" s="42"/>
      <c r="AP428" s="41"/>
      <c r="AQ428" s="41"/>
    </row>
    <row r="429" spans="3:43" ht="15.75" customHeight="1" x14ac:dyDescent="0.2">
      <c r="C429" s="42"/>
      <c r="AP429" s="41"/>
      <c r="AQ429" s="41"/>
    </row>
    <row r="430" spans="3:43" ht="15.75" customHeight="1" x14ac:dyDescent="0.2">
      <c r="C430" s="42"/>
      <c r="AP430" s="41"/>
      <c r="AQ430" s="41"/>
    </row>
    <row r="431" spans="3:43" ht="15.75" customHeight="1" x14ac:dyDescent="0.2">
      <c r="C431" s="42"/>
      <c r="AP431" s="41"/>
      <c r="AQ431" s="41"/>
    </row>
    <row r="432" spans="3:43" ht="15.75" customHeight="1" x14ac:dyDescent="0.2">
      <c r="C432" s="42"/>
      <c r="AP432" s="41"/>
      <c r="AQ432" s="41"/>
    </row>
    <row r="433" spans="3:43" ht="15.75" customHeight="1" x14ac:dyDescent="0.2">
      <c r="C433" s="42"/>
      <c r="AP433" s="41"/>
      <c r="AQ433" s="41"/>
    </row>
    <row r="434" spans="3:43" ht="15.75" customHeight="1" x14ac:dyDescent="0.2">
      <c r="C434" s="42"/>
      <c r="AP434" s="41"/>
      <c r="AQ434" s="41"/>
    </row>
    <row r="435" spans="3:43" ht="15.75" customHeight="1" x14ac:dyDescent="0.2">
      <c r="C435" s="42"/>
      <c r="AP435" s="41"/>
      <c r="AQ435" s="41"/>
    </row>
    <row r="436" spans="3:43" ht="15.75" customHeight="1" x14ac:dyDescent="0.2">
      <c r="C436" s="42"/>
      <c r="AP436" s="41"/>
      <c r="AQ436" s="41"/>
    </row>
    <row r="437" spans="3:43" ht="15.75" customHeight="1" x14ac:dyDescent="0.2">
      <c r="C437" s="42"/>
      <c r="AP437" s="41"/>
      <c r="AQ437" s="41"/>
    </row>
    <row r="438" spans="3:43" ht="15.75" customHeight="1" x14ac:dyDescent="0.2">
      <c r="C438" s="42"/>
      <c r="AP438" s="41"/>
      <c r="AQ438" s="41"/>
    </row>
    <row r="439" spans="3:43" ht="15.75" customHeight="1" x14ac:dyDescent="0.2">
      <c r="C439" s="42"/>
      <c r="AP439" s="41"/>
      <c r="AQ439" s="41"/>
    </row>
    <row r="440" spans="3:43" ht="15.75" customHeight="1" x14ac:dyDescent="0.2">
      <c r="C440" s="42"/>
      <c r="AP440" s="41"/>
      <c r="AQ440" s="41"/>
    </row>
    <row r="441" spans="3:43" ht="15.75" customHeight="1" x14ac:dyDescent="0.2">
      <c r="C441" s="42"/>
      <c r="AP441" s="41"/>
      <c r="AQ441" s="41"/>
    </row>
    <row r="442" spans="3:43" ht="15.75" customHeight="1" x14ac:dyDescent="0.2">
      <c r="C442" s="42"/>
      <c r="AP442" s="41"/>
      <c r="AQ442" s="41"/>
    </row>
    <row r="443" spans="3:43" ht="15.75" customHeight="1" x14ac:dyDescent="0.2">
      <c r="C443" s="42"/>
      <c r="AP443" s="41"/>
      <c r="AQ443" s="41"/>
    </row>
    <row r="444" spans="3:43" ht="15.75" customHeight="1" x14ac:dyDescent="0.2">
      <c r="C444" s="42"/>
      <c r="AP444" s="41"/>
      <c r="AQ444" s="41"/>
    </row>
    <row r="445" spans="3:43" ht="15.75" customHeight="1" x14ac:dyDescent="0.2">
      <c r="C445" s="42"/>
      <c r="AP445" s="41"/>
      <c r="AQ445" s="41"/>
    </row>
    <row r="446" spans="3:43" ht="15.75" customHeight="1" x14ac:dyDescent="0.2">
      <c r="C446" s="42"/>
      <c r="AP446" s="41"/>
      <c r="AQ446" s="41"/>
    </row>
    <row r="447" spans="3:43" ht="15.75" customHeight="1" x14ac:dyDescent="0.2">
      <c r="C447" s="42"/>
      <c r="AP447" s="41"/>
      <c r="AQ447" s="41"/>
    </row>
    <row r="448" spans="3:43" ht="15.75" customHeight="1" x14ac:dyDescent="0.2">
      <c r="C448" s="42"/>
      <c r="AP448" s="41"/>
      <c r="AQ448" s="41"/>
    </row>
    <row r="449" spans="3:43" ht="15.75" customHeight="1" x14ac:dyDescent="0.2">
      <c r="C449" s="42"/>
      <c r="AP449" s="41"/>
      <c r="AQ449" s="41"/>
    </row>
    <row r="450" spans="3:43" ht="15.75" customHeight="1" x14ac:dyDescent="0.2">
      <c r="C450" s="42"/>
      <c r="AP450" s="41"/>
      <c r="AQ450" s="41"/>
    </row>
    <row r="451" spans="3:43" ht="15.75" customHeight="1" x14ac:dyDescent="0.2">
      <c r="C451" s="42"/>
      <c r="AP451" s="41"/>
      <c r="AQ451" s="41"/>
    </row>
    <row r="452" spans="3:43" ht="15.75" customHeight="1" x14ac:dyDescent="0.2">
      <c r="C452" s="42"/>
      <c r="AP452" s="41"/>
      <c r="AQ452" s="41"/>
    </row>
    <row r="453" spans="3:43" ht="15.75" customHeight="1" x14ac:dyDescent="0.2">
      <c r="C453" s="42"/>
      <c r="AP453" s="41"/>
      <c r="AQ453" s="41"/>
    </row>
    <row r="454" spans="3:43" ht="15.75" customHeight="1" x14ac:dyDescent="0.2">
      <c r="C454" s="42"/>
      <c r="AP454" s="41"/>
      <c r="AQ454" s="41"/>
    </row>
    <row r="455" spans="3:43" ht="15.75" customHeight="1" x14ac:dyDescent="0.2">
      <c r="C455" s="42"/>
      <c r="AP455" s="41"/>
      <c r="AQ455" s="41"/>
    </row>
    <row r="456" spans="3:43" ht="15.75" customHeight="1" x14ac:dyDescent="0.2">
      <c r="C456" s="42"/>
      <c r="AP456" s="41"/>
      <c r="AQ456" s="41"/>
    </row>
    <row r="457" spans="3:43" ht="15.75" customHeight="1" x14ac:dyDescent="0.2">
      <c r="C457" s="42"/>
      <c r="AP457" s="41"/>
      <c r="AQ457" s="41"/>
    </row>
    <row r="458" spans="3:43" ht="15.75" customHeight="1" x14ac:dyDescent="0.2">
      <c r="C458" s="42"/>
      <c r="AP458" s="41"/>
      <c r="AQ458" s="41"/>
    </row>
    <row r="459" spans="3:43" ht="15.75" customHeight="1" x14ac:dyDescent="0.2">
      <c r="C459" s="42"/>
      <c r="AP459" s="41"/>
      <c r="AQ459" s="41"/>
    </row>
    <row r="460" spans="3:43" ht="15.75" customHeight="1" x14ac:dyDescent="0.2">
      <c r="C460" s="42"/>
      <c r="AP460" s="41"/>
      <c r="AQ460" s="41"/>
    </row>
    <row r="461" spans="3:43" ht="15.75" customHeight="1" x14ac:dyDescent="0.2">
      <c r="C461" s="42"/>
      <c r="AP461" s="41"/>
      <c r="AQ461" s="41"/>
    </row>
    <row r="462" spans="3:43" ht="15.75" customHeight="1" x14ac:dyDescent="0.2">
      <c r="C462" s="42"/>
      <c r="AP462" s="41"/>
      <c r="AQ462" s="41"/>
    </row>
    <row r="463" spans="3:43" ht="15.75" customHeight="1" x14ac:dyDescent="0.2">
      <c r="C463" s="42"/>
      <c r="AP463" s="41"/>
      <c r="AQ463" s="41"/>
    </row>
    <row r="464" spans="3:43" ht="15.75" customHeight="1" x14ac:dyDescent="0.2">
      <c r="C464" s="42"/>
      <c r="AP464" s="41"/>
      <c r="AQ464" s="41"/>
    </row>
    <row r="465" spans="3:43" ht="15.75" customHeight="1" x14ac:dyDescent="0.2">
      <c r="C465" s="42"/>
      <c r="AP465" s="41"/>
      <c r="AQ465" s="41"/>
    </row>
    <row r="466" spans="3:43" ht="15.75" customHeight="1" x14ac:dyDescent="0.2">
      <c r="C466" s="42"/>
      <c r="AP466" s="41"/>
      <c r="AQ466" s="41"/>
    </row>
    <row r="467" spans="3:43" ht="15.75" customHeight="1" x14ac:dyDescent="0.2">
      <c r="C467" s="42"/>
      <c r="AP467" s="41"/>
      <c r="AQ467" s="41"/>
    </row>
    <row r="468" spans="3:43" ht="15.75" customHeight="1" x14ac:dyDescent="0.2">
      <c r="C468" s="42"/>
      <c r="AP468" s="41"/>
      <c r="AQ468" s="41"/>
    </row>
    <row r="469" spans="3:43" ht="15.75" customHeight="1" x14ac:dyDescent="0.2">
      <c r="C469" s="42"/>
      <c r="AP469" s="41"/>
      <c r="AQ469" s="41"/>
    </row>
    <row r="470" spans="3:43" ht="15.75" customHeight="1" x14ac:dyDescent="0.2">
      <c r="C470" s="42"/>
      <c r="AP470" s="41"/>
      <c r="AQ470" s="41"/>
    </row>
    <row r="471" spans="3:43" ht="15.75" customHeight="1" x14ac:dyDescent="0.2">
      <c r="C471" s="42"/>
      <c r="AP471" s="41"/>
      <c r="AQ471" s="41"/>
    </row>
    <row r="472" spans="3:43" ht="15.75" customHeight="1" x14ac:dyDescent="0.2">
      <c r="C472" s="42"/>
      <c r="AP472" s="41"/>
      <c r="AQ472" s="41"/>
    </row>
    <row r="473" spans="3:43" ht="15.75" customHeight="1" x14ac:dyDescent="0.2">
      <c r="C473" s="42"/>
      <c r="AP473" s="41"/>
      <c r="AQ473" s="41"/>
    </row>
    <row r="474" spans="3:43" ht="15.75" customHeight="1" x14ac:dyDescent="0.2">
      <c r="C474" s="42"/>
      <c r="AP474" s="41"/>
      <c r="AQ474" s="41"/>
    </row>
    <row r="475" spans="3:43" ht="15.75" customHeight="1" x14ac:dyDescent="0.2">
      <c r="C475" s="42"/>
      <c r="AP475" s="41"/>
      <c r="AQ475" s="41"/>
    </row>
    <row r="476" spans="3:43" ht="15.75" customHeight="1" x14ac:dyDescent="0.2">
      <c r="C476" s="42"/>
      <c r="AP476" s="41"/>
      <c r="AQ476" s="41"/>
    </row>
    <row r="477" spans="3:43" ht="15.75" customHeight="1" x14ac:dyDescent="0.2">
      <c r="C477" s="42"/>
      <c r="AP477" s="41"/>
      <c r="AQ477" s="41"/>
    </row>
    <row r="478" spans="3:43" ht="15.75" customHeight="1" x14ac:dyDescent="0.2">
      <c r="C478" s="42"/>
      <c r="AP478" s="41"/>
      <c r="AQ478" s="41"/>
    </row>
    <row r="479" spans="3:43" ht="15.75" customHeight="1" x14ac:dyDescent="0.2">
      <c r="C479" s="42"/>
      <c r="AP479" s="41"/>
      <c r="AQ479" s="41"/>
    </row>
    <row r="480" spans="3:43" ht="15.75" customHeight="1" x14ac:dyDescent="0.2">
      <c r="C480" s="42"/>
      <c r="AP480" s="41"/>
      <c r="AQ480" s="41"/>
    </row>
    <row r="481" spans="3:43" ht="15.75" customHeight="1" x14ac:dyDescent="0.2">
      <c r="C481" s="42"/>
      <c r="AP481" s="41"/>
      <c r="AQ481" s="41"/>
    </row>
    <row r="482" spans="3:43" ht="15.75" customHeight="1" x14ac:dyDescent="0.2">
      <c r="C482" s="42"/>
      <c r="AP482" s="41"/>
      <c r="AQ482" s="41"/>
    </row>
    <row r="483" spans="3:43" ht="15.75" customHeight="1" x14ac:dyDescent="0.2">
      <c r="C483" s="42"/>
      <c r="AP483" s="41"/>
      <c r="AQ483" s="41"/>
    </row>
    <row r="484" spans="3:43" ht="15.75" customHeight="1" x14ac:dyDescent="0.2">
      <c r="C484" s="42"/>
      <c r="AP484" s="41"/>
      <c r="AQ484" s="41"/>
    </row>
    <row r="485" spans="3:43" ht="15.75" customHeight="1" x14ac:dyDescent="0.2">
      <c r="C485" s="42"/>
      <c r="AP485" s="41"/>
      <c r="AQ485" s="41"/>
    </row>
    <row r="486" spans="3:43" ht="15.75" customHeight="1" x14ac:dyDescent="0.2">
      <c r="C486" s="42"/>
      <c r="AP486" s="41"/>
      <c r="AQ486" s="41"/>
    </row>
    <row r="487" spans="3:43" ht="15.75" customHeight="1" x14ac:dyDescent="0.2">
      <c r="C487" s="42"/>
      <c r="AP487" s="41"/>
      <c r="AQ487" s="41"/>
    </row>
    <row r="488" spans="3:43" ht="15.75" customHeight="1" x14ac:dyDescent="0.2">
      <c r="C488" s="42"/>
      <c r="AP488" s="41"/>
      <c r="AQ488" s="41"/>
    </row>
    <row r="489" spans="3:43" ht="15.75" customHeight="1" x14ac:dyDescent="0.2">
      <c r="C489" s="42"/>
      <c r="AP489" s="41"/>
      <c r="AQ489" s="41"/>
    </row>
    <row r="490" spans="3:43" ht="15.75" customHeight="1" x14ac:dyDescent="0.2">
      <c r="C490" s="42"/>
      <c r="AP490" s="41"/>
      <c r="AQ490" s="41"/>
    </row>
    <row r="491" spans="3:43" ht="15.75" customHeight="1" x14ac:dyDescent="0.2">
      <c r="C491" s="42"/>
      <c r="AP491" s="41"/>
      <c r="AQ491" s="41"/>
    </row>
    <row r="492" spans="3:43" ht="15.75" customHeight="1" x14ac:dyDescent="0.2">
      <c r="C492" s="42"/>
      <c r="AP492" s="41"/>
      <c r="AQ492" s="41"/>
    </row>
    <row r="493" spans="3:43" ht="15.75" customHeight="1" x14ac:dyDescent="0.2">
      <c r="C493" s="42"/>
      <c r="AP493" s="41"/>
      <c r="AQ493" s="41"/>
    </row>
    <row r="494" spans="3:43" ht="15.75" customHeight="1" x14ac:dyDescent="0.2">
      <c r="C494" s="42"/>
      <c r="AP494" s="41"/>
      <c r="AQ494" s="41"/>
    </row>
    <row r="495" spans="3:43" ht="15.75" customHeight="1" x14ac:dyDescent="0.2">
      <c r="C495" s="42"/>
      <c r="AP495" s="41"/>
      <c r="AQ495" s="41"/>
    </row>
    <row r="496" spans="3:43" ht="15.75" customHeight="1" x14ac:dyDescent="0.2">
      <c r="C496" s="42"/>
      <c r="AP496" s="41"/>
      <c r="AQ496" s="41"/>
    </row>
    <row r="497" spans="3:43" ht="15.75" customHeight="1" x14ac:dyDescent="0.2">
      <c r="C497" s="42"/>
      <c r="AP497" s="41"/>
      <c r="AQ497" s="41"/>
    </row>
    <row r="498" spans="3:43" ht="15.75" customHeight="1" x14ac:dyDescent="0.2">
      <c r="C498" s="42"/>
      <c r="AP498" s="41"/>
      <c r="AQ498" s="41"/>
    </row>
    <row r="499" spans="3:43" ht="15.75" customHeight="1" x14ac:dyDescent="0.2">
      <c r="C499" s="42"/>
      <c r="AP499" s="41"/>
      <c r="AQ499" s="41"/>
    </row>
    <row r="500" spans="3:43" ht="15.75" customHeight="1" x14ac:dyDescent="0.2">
      <c r="C500" s="42"/>
      <c r="AP500" s="41"/>
      <c r="AQ500" s="41"/>
    </row>
    <row r="501" spans="3:43" ht="15.75" customHeight="1" x14ac:dyDescent="0.2">
      <c r="C501" s="42"/>
      <c r="AP501" s="41"/>
      <c r="AQ501" s="41"/>
    </row>
    <row r="502" spans="3:43" ht="15.75" customHeight="1" x14ac:dyDescent="0.2">
      <c r="C502" s="42"/>
      <c r="AP502" s="41"/>
      <c r="AQ502" s="41"/>
    </row>
    <row r="503" spans="3:43" ht="15.75" customHeight="1" x14ac:dyDescent="0.2">
      <c r="C503" s="42"/>
      <c r="AP503" s="41"/>
      <c r="AQ503" s="41"/>
    </row>
    <row r="504" spans="3:43" ht="15.75" customHeight="1" x14ac:dyDescent="0.2">
      <c r="C504" s="42"/>
      <c r="AP504" s="41"/>
      <c r="AQ504" s="41"/>
    </row>
    <row r="505" spans="3:43" ht="15.75" customHeight="1" x14ac:dyDescent="0.2">
      <c r="C505" s="42"/>
      <c r="AP505" s="41"/>
      <c r="AQ505" s="41"/>
    </row>
    <row r="506" spans="3:43" ht="15.75" customHeight="1" x14ac:dyDescent="0.2">
      <c r="C506" s="42"/>
      <c r="AP506" s="41"/>
      <c r="AQ506" s="41"/>
    </row>
    <row r="507" spans="3:43" ht="15.75" customHeight="1" x14ac:dyDescent="0.2">
      <c r="C507" s="42"/>
      <c r="AP507" s="41"/>
      <c r="AQ507" s="41"/>
    </row>
    <row r="508" spans="3:43" ht="15.75" customHeight="1" x14ac:dyDescent="0.2">
      <c r="C508" s="42"/>
      <c r="AP508" s="41"/>
      <c r="AQ508" s="41"/>
    </row>
    <row r="509" spans="3:43" ht="15.75" customHeight="1" x14ac:dyDescent="0.2">
      <c r="C509" s="42"/>
      <c r="AP509" s="41"/>
      <c r="AQ509" s="41"/>
    </row>
    <row r="510" spans="3:43" ht="15.75" customHeight="1" x14ac:dyDescent="0.2">
      <c r="C510" s="42"/>
      <c r="AP510" s="41"/>
      <c r="AQ510" s="41"/>
    </row>
    <row r="511" spans="3:43" ht="15.75" customHeight="1" x14ac:dyDescent="0.2">
      <c r="C511" s="42"/>
      <c r="AP511" s="41"/>
      <c r="AQ511" s="41"/>
    </row>
    <row r="512" spans="3:43" ht="15.75" customHeight="1" x14ac:dyDescent="0.2">
      <c r="C512" s="42"/>
      <c r="AP512" s="41"/>
      <c r="AQ512" s="41"/>
    </row>
    <row r="513" spans="3:43" ht="15.75" customHeight="1" x14ac:dyDescent="0.2">
      <c r="C513" s="42"/>
      <c r="AP513" s="41"/>
      <c r="AQ513" s="41"/>
    </row>
    <row r="514" spans="3:43" ht="15.75" customHeight="1" x14ac:dyDescent="0.2">
      <c r="C514" s="42"/>
      <c r="AP514" s="41"/>
      <c r="AQ514" s="41"/>
    </row>
    <row r="515" spans="3:43" ht="15.75" customHeight="1" x14ac:dyDescent="0.2">
      <c r="C515" s="42"/>
      <c r="AP515" s="41"/>
      <c r="AQ515" s="41"/>
    </row>
    <row r="516" spans="3:43" ht="15.75" customHeight="1" x14ac:dyDescent="0.2">
      <c r="C516" s="42"/>
      <c r="AP516" s="41"/>
      <c r="AQ516" s="41"/>
    </row>
    <row r="517" spans="3:43" ht="15.75" customHeight="1" x14ac:dyDescent="0.2">
      <c r="C517" s="42"/>
      <c r="AP517" s="41"/>
      <c r="AQ517" s="41"/>
    </row>
    <row r="518" spans="3:43" ht="15.75" customHeight="1" x14ac:dyDescent="0.2">
      <c r="C518" s="42"/>
      <c r="AP518" s="41"/>
      <c r="AQ518" s="41"/>
    </row>
    <row r="519" spans="3:43" ht="15.75" customHeight="1" x14ac:dyDescent="0.2">
      <c r="C519" s="42"/>
      <c r="AP519" s="41"/>
      <c r="AQ519" s="41"/>
    </row>
    <row r="520" spans="3:43" ht="15.75" customHeight="1" x14ac:dyDescent="0.2">
      <c r="C520" s="42"/>
      <c r="AP520" s="41"/>
      <c r="AQ520" s="41"/>
    </row>
    <row r="521" spans="3:43" ht="15.75" customHeight="1" x14ac:dyDescent="0.2">
      <c r="C521" s="42"/>
      <c r="AP521" s="41"/>
      <c r="AQ521" s="41"/>
    </row>
    <row r="522" spans="3:43" ht="15.75" customHeight="1" x14ac:dyDescent="0.2">
      <c r="C522" s="42"/>
      <c r="AP522" s="41"/>
      <c r="AQ522" s="41"/>
    </row>
    <row r="523" spans="3:43" ht="15.75" customHeight="1" x14ac:dyDescent="0.2">
      <c r="C523" s="42"/>
      <c r="AP523" s="41"/>
      <c r="AQ523" s="41"/>
    </row>
    <row r="524" spans="3:43" ht="15.75" customHeight="1" x14ac:dyDescent="0.2">
      <c r="C524" s="42"/>
      <c r="AP524" s="41"/>
      <c r="AQ524" s="41"/>
    </row>
    <row r="525" spans="3:43" ht="15.75" customHeight="1" x14ac:dyDescent="0.2">
      <c r="C525" s="42"/>
      <c r="AP525" s="41"/>
      <c r="AQ525" s="41"/>
    </row>
    <row r="526" spans="3:43" ht="15.75" customHeight="1" x14ac:dyDescent="0.2">
      <c r="C526" s="42"/>
      <c r="AP526" s="41"/>
      <c r="AQ526" s="41"/>
    </row>
    <row r="527" spans="3:43" ht="15.75" customHeight="1" x14ac:dyDescent="0.2">
      <c r="C527" s="42"/>
      <c r="AP527" s="41"/>
      <c r="AQ527" s="41"/>
    </row>
    <row r="528" spans="3:43" ht="15.75" customHeight="1" x14ac:dyDescent="0.2">
      <c r="C528" s="42"/>
      <c r="AP528" s="41"/>
      <c r="AQ528" s="41"/>
    </row>
    <row r="529" spans="3:43" ht="15.75" customHeight="1" x14ac:dyDescent="0.2">
      <c r="C529" s="42"/>
      <c r="AP529" s="41"/>
      <c r="AQ529" s="41"/>
    </row>
    <row r="530" spans="3:43" ht="15.75" customHeight="1" x14ac:dyDescent="0.2">
      <c r="C530" s="42"/>
      <c r="AP530" s="41"/>
      <c r="AQ530" s="41"/>
    </row>
    <row r="531" spans="3:43" ht="15.75" customHeight="1" x14ac:dyDescent="0.2">
      <c r="C531" s="42"/>
      <c r="AP531" s="41"/>
      <c r="AQ531" s="41"/>
    </row>
    <row r="532" spans="3:43" ht="15.75" customHeight="1" x14ac:dyDescent="0.2">
      <c r="C532" s="42"/>
      <c r="AP532" s="41"/>
      <c r="AQ532" s="41"/>
    </row>
    <row r="533" spans="3:43" ht="15.75" customHeight="1" x14ac:dyDescent="0.2">
      <c r="C533" s="42"/>
      <c r="AP533" s="41"/>
      <c r="AQ533" s="41"/>
    </row>
    <row r="534" spans="3:43" ht="15.75" customHeight="1" x14ac:dyDescent="0.2">
      <c r="C534" s="42"/>
      <c r="AP534" s="41"/>
      <c r="AQ534" s="41"/>
    </row>
    <row r="535" spans="3:43" ht="15.75" customHeight="1" x14ac:dyDescent="0.2">
      <c r="C535" s="42"/>
      <c r="AP535" s="41"/>
      <c r="AQ535" s="41"/>
    </row>
    <row r="536" spans="3:43" ht="15.75" customHeight="1" x14ac:dyDescent="0.2">
      <c r="C536" s="42"/>
      <c r="AP536" s="41"/>
      <c r="AQ536" s="41"/>
    </row>
    <row r="537" spans="3:43" ht="15.75" customHeight="1" x14ac:dyDescent="0.2">
      <c r="C537" s="42"/>
      <c r="AP537" s="41"/>
      <c r="AQ537" s="41"/>
    </row>
    <row r="538" spans="3:43" ht="15.75" customHeight="1" x14ac:dyDescent="0.2">
      <c r="C538" s="42"/>
      <c r="AP538" s="41"/>
      <c r="AQ538" s="41"/>
    </row>
    <row r="539" spans="3:43" ht="15.75" customHeight="1" x14ac:dyDescent="0.2">
      <c r="C539" s="42"/>
      <c r="AP539" s="41"/>
      <c r="AQ539" s="41"/>
    </row>
    <row r="540" spans="3:43" ht="15.75" customHeight="1" x14ac:dyDescent="0.2">
      <c r="C540" s="42"/>
      <c r="AP540" s="41"/>
      <c r="AQ540" s="41"/>
    </row>
    <row r="541" spans="3:43" ht="15.75" customHeight="1" x14ac:dyDescent="0.2">
      <c r="C541" s="42"/>
      <c r="AP541" s="41"/>
      <c r="AQ541" s="41"/>
    </row>
    <row r="542" spans="3:43" ht="15.75" customHeight="1" x14ac:dyDescent="0.2">
      <c r="C542" s="42"/>
      <c r="AP542" s="41"/>
      <c r="AQ542" s="41"/>
    </row>
    <row r="543" spans="3:43" ht="15.75" customHeight="1" x14ac:dyDescent="0.2">
      <c r="C543" s="42"/>
      <c r="AP543" s="41"/>
      <c r="AQ543" s="41"/>
    </row>
    <row r="544" spans="3:43" ht="15.75" customHeight="1" x14ac:dyDescent="0.2">
      <c r="C544" s="42"/>
      <c r="AP544" s="41"/>
      <c r="AQ544" s="41"/>
    </row>
    <row r="545" spans="3:43" ht="15.75" customHeight="1" x14ac:dyDescent="0.2">
      <c r="C545" s="42"/>
      <c r="AP545" s="41"/>
      <c r="AQ545" s="41"/>
    </row>
    <row r="546" spans="3:43" ht="15.75" customHeight="1" x14ac:dyDescent="0.2">
      <c r="C546" s="42"/>
      <c r="AP546" s="41"/>
      <c r="AQ546" s="41"/>
    </row>
    <row r="547" spans="3:43" ht="15.75" customHeight="1" x14ac:dyDescent="0.2">
      <c r="C547" s="42"/>
      <c r="AP547" s="41"/>
      <c r="AQ547" s="41"/>
    </row>
    <row r="548" spans="3:43" ht="15.75" customHeight="1" x14ac:dyDescent="0.2">
      <c r="C548" s="42"/>
      <c r="AP548" s="41"/>
      <c r="AQ548" s="41"/>
    </row>
    <row r="549" spans="3:43" ht="15.75" customHeight="1" x14ac:dyDescent="0.2">
      <c r="C549" s="42"/>
      <c r="AP549" s="41"/>
      <c r="AQ549" s="41"/>
    </row>
    <row r="550" spans="3:43" ht="15.75" customHeight="1" x14ac:dyDescent="0.2">
      <c r="C550" s="42"/>
      <c r="AP550" s="41"/>
      <c r="AQ550" s="41"/>
    </row>
    <row r="551" spans="3:43" ht="15.75" customHeight="1" x14ac:dyDescent="0.2">
      <c r="C551" s="42"/>
      <c r="AP551" s="41"/>
      <c r="AQ551" s="41"/>
    </row>
    <row r="552" spans="3:43" ht="15.75" customHeight="1" x14ac:dyDescent="0.2">
      <c r="C552" s="42"/>
      <c r="AP552" s="41"/>
      <c r="AQ552" s="41"/>
    </row>
    <row r="553" spans="3:43" ht="15.75" customHeight="1" x14ac:dyDescent="0.2">
      <c r="C553" s="42"/>
      <c r="AP553" s="41"/>
      <c r="AQ553" s="41"/>
    </row>
    <row r="554" spans="3:43" ht="15.75" customHeight="1" x14ac:dyDescent="0.2">
      <c r="C554" s="42"/>
      <c r="AP554" s="41"/>
      <c r="AQ554" s="41"/>
    </row>
    <row r="555" spans="3:43" ht="15.75" customHeight="1" x14ac:dyDescent="0.2">
      <c r="C555" s="42"/>
      <c r="AP555" s="41"/>
      <c r="AQ555" s="41"/>
    </row>
    <row r="556" spans="3:43" ht="15.75" customHeight="1" x14ac:dyDescent="0.2">
      <c r="C556" s="42"/>
      <c r="AP556" s="41"/>
      <c r="AQ556" s="41"/>
    </row>
    <row r="557" spans="3:43" ht="15.75" customHeight="1" x14ac:dyDescent="0.2">
      <c r="C557" s="42"/>
      <c r="AP557" s="41"/>
      <c r="AQ557" s="41"/>
    </row>
    <row r="558" spans="3:43" ht="15.75" customHeight="1" x14ac:dyDescent="0.2">
      <c r="C558" s="42"/>
      <c r="AP558" s="41"/>
      <c r="AQ558" s="41"/>
    </row>
    <row r="559" spans="3:43" ht="15.75" customHeight="1" x14ac:dyDescent="0.2">
      <c r="C559" s="42"/>
      <c r="AP559" s="41"/>
      <c r="AQ559" s="41"/>
    </row>
    <row r="560" spans="3:43" ht="15.75" customHeight="1" x14ac:dyDescent="0.2">
      <c r="C560" s="42"/>
      <c r="AP560" s="41"/>
      <c r="AQ560" s="41"/>
    </row>
    <row r="561" spans="3:43" ht="15.75" customHeight="1" x14ac:dyDescent="0.2">
      <c r="C561" s="42"/>
      <c r="AP561" s="41"/>
      <c r="AQ561" s="41"/>
    </row>
    <row r="562" spans="3:43" ht="15.75" customHeight="1" x14ac:dyDescent="0.2">
      <c r="C562" s="42"/>
      <c r="AP562" s="41"/>
      <c r="AQ562" s="41"/>
    </row>
    <row r="563" spans="3:43" ht="15.75" customHeight="1" x14ac:dyDescent="0.2">
      <c r="C563" s="42"/>
      <c r="AP563" s="41"/>
      <c r="AQ563" s="41"/>
    </row>
    <row r="564" spans="3:43" ht="15.75" customHeight="1" x14ac:dyDescent="0.2">
      <c r="C564" s="42"/>
      <c r="AP564" s="41"/>
      <c r="AQ564" s="41"/>
    </row>
    <row r="565" spans="3:43" ht="15.75" customHeight="1" x14ac:dyDescent="0.2">
      <c r="C565" s="42"/>
      <c r="AP565" s="41"/>
      <c r="AQ565" s="41"/>
    </row>
    <row r="566" spans="3:43" ht="15.75" customHeight="1" x14ac:dyDescent="0.2">
      <c r="C566" s="42"/>
      <c r="AP566" s="41"/>
      <c r="AQ566" s="41"/>
    </row>
    <row r="567" spans="3:43" ht="15.75" customHeight="1" x14ac:dyDescent="0.2">
      <c r="C567" s="42"/>
      <c r="AP567" s="41"/>
      <c r="AQ567" s="41"/>
    </row>
    <row r="568" spans="3:43" ht="15.75" customHeight="1" x14ac:dyDescent="0.2">
      <c r="C568" s="42"/>
      <c r="AP568" s="41"/>
      <c r="AQ568" s="41"/>
    </row>
    <row r="569" spans="3:43" ht="15.75" customHeight="1" x14ac:dyDescent="0.2">
      <c r="C569" s="42"/>
      <c r="AP569" s="41"/>
      <c r="AQ569" s="41"/>
    </row>
    <row r="570" spans="3:43" ht="15.75" customHeight="1" x14ac:dyDescent="0.2">
      <c r="C570" s="42"/>
      <c r="AP570" s="41"/>
      <c r="AQ570" s="41"/>
    </row>
    <row r="571" spans="3:43" ht="15.75" customHeight="1" x14ac:dyDescent="0.2">
      <c r="C571" s="42"/>
      <c r="AP571" s="41"/>
      <c r="AQ571" s="41"/>
    </row>
    <row r="572" spans="3:43" ht="15.75" customHeight="1" x14ac:dyDescent="0.2">
      <c r="C572" s="42"/>
      <c r="AP572" s="41"/>
      <c r="AQ572" s="41"/>
    </row>
    <row r="573" spans="3:43" ht="15.75" customHeight="1" x14ac:dyDescent="0.2">
      <c r="C573" s="42"/>
      <c r="AP573" s="41"/>
      <c r="AQ573" s="41"/>
    </row>
    <row r="574" spans="3:43" ht="15.75" customHeight="1" x14ac:dyDescent="0.2">
      <c r="C574" s="42"/>
      <c r="AP574" s="41"/>
      <c r="AQ574" s="41"/>
    </row>
    <row r="575" spans="3:43" ht="15.75" customHeight="1" x14ac:dyDescent="0.2">
      <c r="C575" s="42"/>
      <c r="AP575" s="41"/>
      <c r="AQ575" s="41"/>
    </row>
    <row r="576" spans="3:43" ht="15.75" customHeight="1" x14ac:dyDescent="0.2">
      <c r="C576" s="42"/>
      <c r="AP576" s="41"/>
      <c r="AQ576" s="41"/>
    </row>
    <row r="577" spans="3:43" ht="15.75" customHeight="1" x14ac:dyDescent="0.2">
      <c r="C577" s="42"/>
      <c r="AP577" s="41"/>
      <c r="AQ577" s="41"/>
    </row>
    <row r="578" spans="3:43" ht="15.75" customHeight="1" x14ac:dyDescent="0.2">
      <c r="C578" s="42"/>
      <c r="AP578" s="41"/>
      <c r="AQ578" s="41"/>
    </row>
    <row r="579" spans="3:43" ht="15.75" customHeight="1" x14ac:dyDescent="0.2">
      <c r="C579" s="42"/>
      <c r="AP579" s="41"/>
      <c r="AQ579" s="41"/>
    </row>
    <row r="580" spans="3:43" ht="15.75" customHeight="1" x14ac:dyDescent="0.2">
      <c r="C580" s="42"/>
      <c r="AP580" s="41"/>
      <c r="AQ580" s="41"/>
    </row>
    <row r="581" spans="3:43" ht="15.75" customHeight="1" x14ac:dyDescent="0.2">
      <c r="C581" s="42"/>
      <c r="AP581" s="41"/>
      <c r="AQ581" s="41"/>
    </row>
    <row r="582" spans="3:43" ht="15.75" customHeight="1" x14ac:dyDescent="0.2">
      <c r="C582" s="42"/>
      <c r="AP582" s="41"/>
      <c r="AQ582" s="41"/>
    </row>
    <row r="583" spans="3:43" ht="15.75" customHeight="1" x14ac:dyDescent="0.2">
      <c r="C583" s="42"/>
      <c r="AP583" s="41"/>
      <c r="AQ583" s="41"/>
    </row>
    <row r="584" spans="3:43" ht="15.75" customHeight="1" x14ac:dyDescent="0.2">
      <c r="C584" s="42"/>
      <c r="AP584" s="41"/>
      <c r="AQ584" s="41"/>
    </row>
    <row r="585" spans="3:43" ht="15.75" customHeight="1" x14ac:dyDescent="0.2">
      <c r="C585" s="42"/>
      <c r="AP585" s="41"/>
      <c r="AQ585" s="41"/>
    </row>
    <row r="586" spans="3:43" ht="15.75" customHeight="1" x14ac:dyDescent="0.2">
      <c r="C586" s="42"/>
      <c r="AP586" s="41"/>
      <c r="AQ586" s="41"/>
    </row>
    <row r="587" spans="3:43" ht="15.75" customHeight="1" x14ac:dyDescent="0.2">
      <c r="C587" s="42"/>
      <c r="AP587" s="41"/>
      <c r="AQ587" s="41"/>
    </row>
    <row r="588" spans="3:43" ht="15.75" customHeight="1" x14ac:dyDescent="0.2">
      <c r="C588" s="42"/>
      <c r="AP588" s="41"/>
      <c r="AQ588" s="41"/>
    </row>
    <row r="589" spans="3:43" ht="15.75" customHeight="1" x14ac:dyDescent="0.2">
      <c r="C589" s="42"/>
      <c r="AP589" s="41"/>
      <c r="AQ589" s="41"/>
    </row>
    <row r="590" spans="3:43" ht="15.75" customHeight="1" x14ac:dyDescent="0.2">
      <c r="C590" s="42"/>
      <c r="AP590" s="41"/>
      <c r="AQ590" s="41"/>
    </row>
    <row r="591" spans="3:43" ht="15.75" customHeight="1" x14ac:dyDescent="0.2">
      <c r="C591" s="42"/>
      <c r="AP591" s="41"/>
      <c r="AQ591" s="41"/>
    </row>
    <row r="592" spans="3:43" ht="15.75" customHeight="1" x14ac:dyDescent="0.2">
      <c r="C592" s="42"/>
      <c r="AP592" s="41"/>
      <c r="AQ592" s="41"/>
    </row>
    <row r="593" spans="3:43" ht="15.75" customHeight="1" x14ac:dyDescent="0.2">
      <c r="C593" s="42"/>
      <c r="AP593" s="41"/>
      <c r="AQ593" s="41"/>
    </row>
    <row r="594" spans="3:43" ht="15.75" customHeight="1" x14ac:dyDescent="0.2">
      <c r="C594" s="42"/>
      <c r="AP594" s="41"/>
      <c r="AQ594" s="41"/>
    </row>
    <row r="595" spans="3:43" ht="15.75" customHeight="1" x14ac:dyDescent="0.2">
      <c r="C595" s="42"/>
      <c r="AP595" s="41"/>
      <c r="AQ595" s="41"/>
    </row>
    <row r="596" spans="3:43" ht="15.75" customHeight="1" x14ac:dyDescent="0.2">
      <c r="C596" s="42"/>
      <c r="AP596" s="41"/>
      <c r="AQ596" s="41"/>
    </row>
    <row r="597" spans="3:43" ht="15.75" customHeight="1" x14ac:dyDescent="0.2">
      <c r="C597" s="42"/>
      <c r="AP597" s="41"/>
      <c r="AQ597" s="41"/>
    </row>
    <row r="598" spans="3:43" ht="15.75" customHeight="1" x14ac:dyDescent="0.2">
      <c r="C598" s="42"/>
      <c r="AP598" s="41"/>
      <c r="AQ598" s="41"/>
    </row>
    <row r="599" spans="3:43" ht="15.75" customHeight="1" x14ac:dyDescent="0.2">
      <c r="C599" s="42"/>
      <c r="AP599" s="41"/>
      <c r="AQ599" s="41"/>
    </row>
    <row r="600" spans="3:43" ht="15.75" customHeight="1" x14ac:dyDescent="0.2">
      <c r="C600" s="42"/>
      <c r="AP600" s="41"/>
      <c r="AQ600" s="41"/>
    </row>
    <row r="601" spans="3:43" ht="15.75" customHeight="1" x14ac:dyDescent="0.2">
      <c r="C601" s="42"/>
      <c r="AP601" s="41"/>
      <c r="AQ601" s="41"/>
    </row>
    <row r="602" spans="3:43" ht="15.75" customHeight="1" x14ac:dyDescent="0.2">
      <c r="C602" s="42"/>
      <c r="AP602" s="41"/>
      <c r="AQ602" s="41"/>
    </row>
    <row r="603" spans="3:43" ht="15.75" customHeight="1" x14ac:dyDescent="0.2">
      <c r="C603" s="42"/>
      <c r="AP603" s="41"/>
      <c r="AQ603" s="41"/>
    </row>
    <row r="604" spans="3:43" ht="15.75" customHeight="1" x14ac:dyDescent="0.2">
      <c r="C604" s="42"/>
      <c r="AP604" s="41"/>
      <c r="AQ604" s="41"/>
    </row>
    <row r="605" spans="3:43" ht="15.75" customHeight="1" x14ac:dyDescent="0.2">
      <c r="C605" s="42"/>
      <c r="AP605" s="41"/>
      <c r="AQ605" s="41"/>
    </row>
    <row r="606" spans="3:43" ht="15.75" customHeight="1" x14ac:dyDescent="0.2">
      <c r="C606" s="42"/>
      <c r="AP606" s="41"/>
      <c r="AQ606" s="41"/>
    </row>
    <row r="607" spans="3:43" ht="15.75" customHeight="1" x14ac:dyDescent="0.2">
      <c r="C607" s="42"/>
      <c r="AP607" s="41"/>
      <c r="AQ607" s="41"/>
    </row>
    <row r="608" spans="3:43" ht="15.75" customHeight="1" x14ac:dyDescent="0.2">
      <c r="C608" s="42"/>
      <c r="AP608" s="41"/>
      <c r="AQ608" s="41"/>
    </row>
    <row r="609" spans="3:43" ht="15.75" customHeight="1" x14ac:dyDescent="0.2">
      <c r="C609" s="42"/>
      <c r="AP609" s="41"/>
      <c r="AQ609" s="41"/>
    </row>
    <row r="610" spans="3:43" ht="15.75" customHeight="1" x14ac:dyDescent="0.2">
      <c r="C610" s="42"/>
      <c r="AP610" s="41"/>
      <c r="AQ610" s="41"/>
    </row>
    <row r="611" spans="3:43" ht="15.75" customHeight="1" x14ac:dyDescent="0.2">
      <c r="C611" s="42"/>
      <c r="AP611" s="41"/>
      <c r="AQ611" s="41"/>
    </row>
    <row r="612" spans="3:43" ht="15.75" customHeight="1" x14ac:dyDescent="0.2">
      <c r="C612" s="42"/>
      <c r="AP612" s="41"/>
      <c r="AQ612" s="41"/>
    </row>
    <row r="613" spans="3:43" ht="15.75" customHeight="1" x14ac:dyDescent="0.2">
      <c r="C613" s="42"/>
      <c r="AP613" s="41"/>
      <c r="AQ613" s="41"/>
    </row>
    <row r="614" spans="3:43" ht="15.75" customHeight="1" x14ac:dyDescent="0.2">
      <c r="C614" s="42"/>
      <c r="AP614" s="41"/>
      <c r="AQ614" s="41"/>
    </row>
    <row r="615" spans="3:43" ht="15.75" customHeight="1" x14ac:dyDescent="0.2">
      <c r="C615" s="42"/>
      <c r="AP615" s="41"/>
      <c r="AQ615" s="41"/>
    </row>
    <row r="616" spans="3:43" ht="15.75" customHeight="1" x14ac:dyDescent="0.2">
      <c r="C616" s="42"/>
      <c r="AP616" s="41"/>
      <c r="AQ616" s="41"/>
    </row>
    <row r="617" spans="3:43" ht="15.75" customHeight="1" x14ac:dyDescent="0.2">
      <c r="C617" s="42"/>
      <c r="AP617" s="41"/>
      <c r="AQ617" s="41"/>
    </row>
    <row r="618" spans="3:43" ht="15.75" customHeight="1" x14ac:dyDescent="0.2">
      <c r="C618" s="42"/>
      <c r="AP618" s="41"/>
      <c r="AQ618" s="41"/>
    </row>
    <row r="619" spans="3:43" ht="15.75" customHeight="1" x14ac:dyDescent="0.2">
      <c r="C619" s="42"/>
      <c r="AP619" s="41"/>
      <c r="AQ619" s="41"/>
    </row>
    <row r="620" spans="3:43" ht="15.75" customHeight="1" x14ac:dyDescent="0.2">
      <c r="C620" s="42"/>
      <c r="AP620" s="41"/>
      <c r="AQ620" s="41"/>
    </row>
    <row r="621" spans="3:43" ht="15.75" customHeight="1" x14ac:dyDescent="0.2">
      <c r="C621" s="42"/>
      <c r="AP621" s="41"/>
      <c r="AQ621" s="41"/>
    </row>
    <row r="622" spans="3:43" ht="15.75" customHeight="1" x14ac:dyDescent="0.2">
      <c r="C622" s="42"/>
      <c r="AP622" s="41"/>
      <c r="AQ622" s="41"/>
    </row>
    <row r="623" spans="3:43" ht="15.75" customHeight="1" x14ac:dyDescent="0.2">
      <c r="C623" s="42"/>
      <c r="AP623" s="41"/>
      <c r="AQ623" s="41"/>
    </row>
    <row r="624" spans="3:43" ht="15.75" customHeight="1" x14ac:dyDescent="0.2">
      <c r="C624" s="42"/>
      <c r="AP624" s="41"/>
      <c r="AQ624" s="41"/>
    </row>
    <row r="625" spans="3:43" ht="15.75" customHeight="1" x14ac:dyDescent="0.2">
      <c r="C625" s="42"/>
      <c r="AP625" s="41"/>
      <c r="AQ625" s="41"/>
    </row>
    <row r="626" spans="3:43" ht="15.75" customHeight="1" x14ac:dyDescent="0.2">
      <c r="C626" s="42"/>
      <c r="AP626" s="41"/>
      <c r="AQ626" s="41"/>
    </row>
    <row r="627" spans="3:43" ht="15.75" customHeight="1" x14ac:dyDescent="0.2">
      <c r="C627" s="42"/>
      <c r="AP627" s="41"/>
      <c r="AQ627" s="41"/>
    </row>
    <row r="628" spans="3:43" ht="15.75" customHeight="1" x14ac:dyDescent="0.2">
      <c r="C628" s="42"/>
      <c r="AP628" s="41"/>
      <c r="AQ628" s="41"/>
    </row>
    <row r="629" spans="3:43" ht="15.75" customHeight="1" x14ac:dyDescent="0.2">
      <c r="C629" s="42"/>
      <c r="AP629" s="41"/>
      <c r="AQ629" s="41"/>
    </row>
    <row r="630" spans="3:43" ht="15.75" customHeight="1" x14ac:dyDescent="0.2">
      <c r="C630" s="42"/>
      <c r="AP630" s="41"/>
      <c r="AQ630" s="41"/>
    </row>
    <row r="631" spans="3:43" ht="15.75" customHeight="1" x14ac:dyDescent="0.2">
      <c r="C631" s="42"/>
      <c r="AP631" s="41"/>
      <c r="AQ631" s="41"/>
    </row>
    <row r="632" spans="3:43" ht="15.75" customHeight="1" x14ac:dyDescent="0.2">
      <c r="C632" s="42"/>
      <c r="AP632" s="41"/>
      <c r="AQ632" s="41"/>
    </row>
    <row r="633" spans="3:43" ht="15.75" customHeight="1" x14ac:dyDescent="0.2">
      <c r="C633" s="42"/>
      <c r="AP633" s="41"/>
      <c r="AQ633" s="41"/>
    </row>
    <row r="634" spans="3:43" ht="15.75" customHeight="1" x14ac:dyDescent="0.2">
      <c r="C634" s="42"/>
      <c r="AP634" s="41"/>
      <c r="AQ634" s="41"/>
    </row>
    <row r="635" spans="3:43" ht="15.75" customHeight="1" x14ac:dyDescent="0.2">
      <c r="C635" s="42"/>
      <c r="AP635" s="41"/>
      <c r="AQ635" s="41"/>
    </row>
    <row r="636" spans="3:43" ht="15.75" customHeight="1" x14ac:dyDescent="0.2">
      <c r="C636" s="42"/>
      <c r="AP636" s="41"/>
      <c r="AQ636" s="41"/>
    </row>
    <row r="637" spans="3:43" ht="15.75" customHeight="1" x14ac:dyDescent="0.2">
      <c r="C637" s="42"/>
      <c r="AP637" s="41"/>
      <c r="AQ637" s="41"/>
    </row>
    <row r="638" spans="3:43" ht="15.75" customHeight="1" x14ac:dyDescent="0.2">
      <c r="C638" s="42"/>
      <c r="AP638" s="41"/>
      <c r="AQ638" s="41"/>
    </row>
    <row r="639" spans="3:43" ht="15.75" customHeight="1" x14ac:dyDescent="0.2">
      <c r="C639" s="42"/>
      <c r="AP639" s="41"/>
      <c r="AQ639" s="41"/>
    </row>
    <row r="640" spans="3:43" ht="15.75" customHeight="1" x14ac:dyDescent="0.2">
      <c r="C640" s="42"/>
      <c r="AP640" s="41"/>
      <c r="AQ640" s="41"/>
    </row>
    <row r="641" spans="3:43" ht="15.75" customHeight="1" x14ac:dyDescent="0.2">
      <c r="C641" s="42"/>
      <c r="AP641" s="41"/>
      <c r="AQ641" s="41"/>
    </row>
    <row r="642" spans="3:43" ht="15.75" customHeight="1" x14ac:dyDescent="0.2">
      <c r="C642" s="42"/>
      <c r="AP642" s="41"/>
      <c r="AQ642" s="41"/>
    </row>
    <row r="643" spans="3:43" ht="15.75" customHeight="1" x14ac:dyDescent="0.2">
      <c r="C643" s="42"/>
      <c r="AP643" s="41"/>
      <c r="AQ643" s="41"/>
    </row>
    <row r="644" spans="3:43" ht="15.75" customHeight="1" x14ac:dyDescent="0.2">
      <c r="C644" s="42"/>
      <c r="AP644" s="41"/>
      <c r="AQ644" s="41"/>
    </row>
    <row r="645" spans="3:43" ht="15.75" customHeight="1" x14ac:dyDescent="0.2">
      <c r="C645" s="42"/>
      <c r="AP645" s="41"/>
      <c r="AQ645" s="41"/>
    </row>
    <row r="646" spans="3:43" ht="15.75" customHeight="1" x14ac:dyDescent="0.2">
      <c r="C646" s="42"/>
      <c r="AP646" s="41"/>
      <c r="AQ646" s="41"/>
    </row>
    <row r="647" spans="3:43" ht="15.75" customHeight="1" x14ac:dyDescent="0.2">
      <c r="C647" s="42"/>
      <c r="AP647" s="41"/>
      <c r="AQ647" s="41"/>
    </row>
    <row r="648" spans="3:43" ht="15.75" customHeight="1" x14ac:dyDescent="0.2">
      <c r="C648" s="42"/>
      <c r="AP648" s="41"/>
      <c r="AQ648" s="41"/>
    </row>
    <row r="649" spans="3:43" ht="15.75" customHeight="1" x14ac:dyDescent="0.2">
      <c r="C649" s="42"/>
      <c r="AP649" s="41"/>
      <c r="AQ649" s="41"/>
    </row>
    <row r="650" spans="3:43" ht="15.75" customHeight="1" x14ac:dyDescent="0.2">
      <c r="C650" s="42"/>
      <c r="AP650" s="41"/>
      <c r="AQ650" s="41"/>
    </row>
    <row r="651" spans="3:43" ht="15.75" customHeight="1" x14ac:dyDescent="0.2">
      <c r="C651" s="42"/>
      <c r="AP651" s="41"/>
      <c r="AQ651" s="41"/>
    </row>
    <row r="652" spans="3:43" ht="15.75" customHeight="1" x14ac:dyDescent="0.2">
      <c r="C652" s="42"/>
      <c r="AP652" s="41"/>
      <c r="AQ652" s="41"/>
    </row>
    <row r="653" spans="3:43" ht="15.75" customHeight="1" x14ac:dyDescent="0.2">
      <c r="C653" s="42"/>
      <c r="AP653" s="41"/>
      <c r="AQ653" s="41"/>
    </row>
    <row r="654" spans="3:43" ht="15.75" customHeight="1" x14ac:dyDescent="0.2">
      <c r="C654" s="42"/>
      <c r="AP654" s="41"/>
      <c r="AQ654" s="41"/>
    </row>
    <row r="655" spans="3:43" ht="15.75" customHeight="1" x14ac:dyDescent="0.2">
      <c r="C655" s="42"/>
      <c r="AP655" s="41"/>
      <c r="AQ655" s="41"/>
    </row>
    <row r="656" spans="3:43" ht="15.75" customHeight="1" x14ac:dyDescent="0.2">
      <c r="C656" s="42"/>
      <c r="AP656" s="41"/>
      <c r="AQ656" s="41"/>
    </row>
    <row r="657" spans="3:43" ht="15.75" customHeight="1" x14ac:dyDescent="0.2">
      <c r="C657" s="42"/>
      <c r="AP657" s="41"/>
      <c r="AQ657" s="41"/>
    </row>
    <row r="658" spans="3:43" ht="15.75" customHeight="1" x14ac:dyDescent="0.2">
      <c r="C658" s="42"/>
      <c r="AP658" s="41"/>
      <c r="AQ658" s="41"/>
    </row>
    <row r="659" spans="3:43" ht="15.75" customHeight="1" x14ac:dyDescent="0.2">
      <c r="C659" s="42"/>
      <c r="AP659" s="41"/>
      <c r="AQ659" s="41"/>
    </row>
    <row r="660" spans="3:43" ht="15.75" customHeight="1" x14ac:dyDescent="0.2">
      <c r="C660" s="42"/>
      <c r="AP660" s="41"/>
      <c r="AQ660" s="41"/>
    </row>
    <row r="661" spans="3:43" ht="15.75" customHeight="1" x14ac:dyDescent="0.2">
      <c r="C661" s="42"/>
      <c r="AP661" s="41"/>
      <c r="AQ661" s="41"/>
    </row>
    <row r="662" spans="3:43" ht="15.75" customHeight="1" x14ac:dyDescent="0.2">
      <c r="C662" s="42"/>
      <c r="AP662" s="41"/>
      <c r="AQ662" s="41"/>
    </row>
    <row r="663" spans="3:43" ht="15.75" customHeight="1" x14ac:dyDescent="0.2">
      <c r="C663" s="42"/>
      <c r="AP663" s="41"/>
      <c r="AQ663" s="41"/>
    </row>
    <row r="664" spans="3:43" ht="15.75" customHeight="1" x14ac:dyDescent="0.2">
      <c r="C664" s="42"/>
      <c r="AP664" s="41"/>
      <c r="AQ664" s="41"/>
    </row>
    <row r="665" spans="3:43" ht="15.75" customHeight="1" x14ac:dyDescent="0.2">
      <c r="C665" s="42"/>
      <c r="AP665" s="41"/>
      <c r="AQ665" s="41"/>
    </row>
    <row r="666" spans="3:43" ht="15.75" customHeight="1" x14ac:dyDescent="0.2">
      <c r="C666" s="42"/>
      <c r="AP666" s="41"/>
      <c r="AQ666" s="41"/>
    </row>
    <row r="667" spans="3:43" ht="15.75" customHeight="1" x14ac:dyDescent="0.2">
      <c r="C667" s="42"/>
      <c r="AP667" s="41"/>
      <c r="AQ667" s="41"/>
    </row>
    <row r="668" spans="3:43" ht="15.75" customHeight="1" x14ac:dyDescent="0.2">
      <c r="C668" s="42"/>
      <c r="AP668" s="41"/>
      <c r="AQ668" s="41"/>
    </row>
    <row r="669" spans="3:43" ht="15.75" customHeight="1" x14ac:dyDescent="0.2">
      <c r="C669" s="42"/>
      <c r="AP669" s="41"/>
      <c r="AQ669" s="41"/>
    </row>
    <row r="670" spans="3:43" ht="15.75" customHeight="1" x14ac:dyDescent="0.2">
      <c r="C670" s="42"/>
      <c r="AP670" s="41"/>
      <c r="AQ670" s="41"/>
    </row>
    <row r="671" spans="3:43" ht="15.75" customHeight="1" x14ac:dyDescent="0.2">
      <c r="C671" s="42"/>
      <c r="AP671" s="41"/>
      <c r="AQ671" s="41"/>
    </row>
    <row r="672" spans="3:43" ht="15.75" customHeight="1" x14ac:dyDescent="0.2">
      <c r="C672" s="42"/>
      <c r="AP672" s="41"/>
      <c r="AQ672" s="41"/>
    </row>
    <row r="673" spans="3:43" ht="15.75" customHeight="1" x14ac:dyDescent="0.2">
      <c r="C673" s="42"/>
      <c r="AP673" s="41"/>
      <c r="AQ673" s="41"/>
    </row>
    <row r="674" spans="3:43" ht="15.75" customHeight="1" x14ac:dyDescent="0.2">
      <c r="C674" s="42"/>
      <c r="AP674" s="41"/>
      <c r="AQ674" s="41"/>
    </row>
    <row r="675" spans="3:43" ht="15.75" customHeight="1" x14ac:dyDescent="0.2">
      <c r="C675" s="42"/>
      <c r="AP675" s="41"/>
      <c r="AQ675" s="41"/>
    </row>
    <row r="676" spans="3:43" ht="15.75" customHeight="1" x14ac:dyDescent="0.2">
      <c r="C676" s="42"/>
      <c r="AP676" s="41"/>
      <c r="AQ676" s="41"/>
    </row>
    <row r="677" spans="3:43" ht="15.75" customHeight="1" x14ac:dyDescent="0.2">
      <c r="C677" s="42"/>
      <c r="AP677" s="41"/>
      <c r="AQ677" s="41"/>
    </row>
    <row r="678" spans="3:43" ht="15.75" customHeight="1" x14ac:dyDescent="0.2">
      <c r="C678" s="42"/>
      <c r="AP678" s="41"/>
      <c r="AQ678" s="41"/>
    </row>
    <row r="679" spans="3:43" ht="15.75" customHeight="1" x14ac:dyDescent="0.2">
      <c r="C679" s="42"/>
      <c r="AP679" s="41"/>
      <c r="AQ679" s="41"/>
    </row>
    <row r="680" spans="3:43" ht="15.75" customHeight="1" x14ac:dyDescent="0.2">
      <c r="C680" s="42"/>
      <c r="AP680" s="41"/>
      <c r="AQ680" s="41"/>
    </row>
    <row r="681" spans="3:43" ht="15.75" customHeight="1" x14ac:dyDescent="0.2">
      <c r="C681" s="42"/>
      <c r="AP681" s="41"/>
      <c r="AQ681" s="41"/>
    </row>
    <row r="682" spans="3:43" ht="15.75" customHeight="1" x14ac:dyDescent="0.2">
      <c r="C682" s="42"/>
      <c r="AP682" s="41"/>
      <c r="AQ682" s="41"/>
    </row>
    <row r="683" spans="3:43" ht="15.75" customHeight="1" x14ac:dyDescent="0.2">
      <c r="C683" s="42"/>
      <c r="AP683" s="41"/>
      <c r="AQ683" s="41"/>
    </row>
    <row r="684" spans="3:43" ht="15.75" customHeight="1" x14ac:dyDescent="0.2">
      <c r="C684" s="42"/>
      <c r="AP684" s="41"/>
      <c r="AQ684" s="41"/>
    </row>
    <row r="685" spans="3:43" ht="15.75" customHeight="1" x14ac:dyDescent="0.2">
      <c r="C685" s="42"/>
      <c r="AP685" s="41"/>
      <c r="AQ685" s="41"/>
    </row>
    <row r="686" spans="3:43" ht="15.75" customHeight="1" x14ac:dyDescent="0.2">
      <c r="C686" s="42"/>
      <c r="AP686" s="41"/>
      <c r="AQ686" s="41"/>
    </row>
    <row r="687" spans="3:43" ht="15.75" customHeight="1" x14ac:dyDescent="0.2">
      <c r="C687" s="42"/>
      <c r="AP687" s="41"/>
      <c r="AQ687" s="41"/>
    </row>
    <row r="688" spans="3:43" ht="15.75" customHeight="1" x14ac:dyDescent="0.2">
      <c r="C688" s="42"/>
      <c r="AP688" s="41"/>
      <c r="AQ688" s="41"/>
    </row>
    <row r="689" spans="3:43" ht="15.75" customHeight="1" x14ac:dyDescent="0.2">
      <c r="C689" s="42"/>
      <c r="AP689" s="41"/>
      <c r="AQ689" s="41"/>
    </row>
    <row r="690" spans="3:43" ht="15.75" customHeight="1" x14ac:dyDescent="0.2">
      <c r="C690" s="42"/>
      <c r="AP690" s="41"/>
      <c r="AQ690" s="41"/>
    </row>
    <row r="691" spans="3:43" ht="15.75" customHeight="1" x14ac:dyDescent="0.2">
      <c r="C691" s="42"/>
      <c r="AP691" s="41"/>
      <c r="AQ691" s="41"/>
    </row>
    <row r="692" spans="3:43" ht="15.75" customHeight="1" x14ac:dyDescent="0.2">
      <c r="C692" s="42"/>
      <c r="AP692" s="41"/>
      <c r="AQ692" s="41"/>
    </row>
    <row r="693" spans="3:43" ht="15.75" customHeight="1" x14ac:dyDescent="0.2">
      <c r="C693" s="42"/>
      <c r="AP693" s="41"/>
      <c r="AQ693" s="41"/>
    </row>
    <row r="694" spans="3:43" ht="15.75" customHeight="1" x14ac:dyDescent="0.2">
      <c r="C694" s="42"/>
      <c r="AP694" s="41"/>
      <c r="AQ694" s="41"/>
    </row>
    <row r="695" spans="3:43" ht="15.75" customHeight="1" x14ac:dyDescent="0.2">
      <c r="C695" s="42"/>
      <c r="AP695" s="41"/>
      <c r="AQ695" s="41"/>
    </row>
    <row r="696" spans="3:43" ht="15.75" customHeight="1" x14ac:dyDescent="0.2">
      <c r="C696" s="42"/>
      <c r="AP696" s="41"/>
      <c r="AQ696" s="41"/>
    </row>
    <row r="697" spans="3:43" ht="15.75" customHeight="1" x14ac:dyDescent="0.2">
      <c r="C697" s="42"/>
      <c r="AP697" s="41"/>
      <c r="AQ697" s="41"/>
    </row>
    <row r="698" spans="3:43" ht="15.75" customHeight="1" x14ac:dyDescent="0.2">
      <c r="C698" s="42"/>
      <c r="AP698" s="41"/>
      <c r="AQ698" s="41"/>
    </row>
    <row r="699" spans="3:43" ht="15.75" customHeight="1" x14ac:dyDescent="0.2">
      <c r="C699" s="42"/>
      <c r="AP699" s="41"/>
      <c r="AQ699" s="41"/>
    </row>
    <row r="700" spans="3:43" ht="15.75" customHeight="1" x14ac:dyDescent="0.2">
      <c r="C700" s="42"/>
      <c r="AP700" s="41"/>
      <c r="AQ700" s="41"/>
    </row>
    <row r="701" spans="3:43" ht="15.75" customHeight="1" x14ac:dyDescent="0.2">
      <c r="C701" s="42"/>
      <c r="AP701" s="41"/>
      <c r="AQ701" s="41"/>
    </row>
    <row r="702" spans="3:43" ht="15.75" customHeight="1" x14ac:dyDescent="0.2">
      <c r="C702" s="42"/>
      <c r="AP702" s="41"/>
      <c r="AQ702" s="41"/>
    </row>
    <row r="703" spans="3:43" ht="15.75" customHeight="1" x14ac:dyDescent="0.2">
      <c r="C703" s="42"/>
      <c r="AP703" s="41"/>
      <c r="AQ703" s="41"/>
    </row>
    <row r="704" spans="3:43" ht="15.75" customHeight="1" x14ac:dyDescent="0.2">
      <c r="C704" s="42"/>
      <c r="AP704" s="41"/>
      <c r="AQ704" s="41"/>
    </row>
    <row r="705" spans="3:43" ht="15.75" customHeight="1" x14ac:dyDescent="0.2">
      <c r="C705" s="42"/>
      <c r="AP705" s="41"/>
      <c r="AQ705" s="41"/>
    </row>
    <row r="706" spans="3:43" ht="15.75" customHeight="1" x14ac:dyDescent="0.2">
      <c r="C706" s="42"/>
      <c r="AP706" s="41"/>
      <c r="AQ706" s="41"/>
    </row>
    <row r="707" spans="3:43" ht="15.75" customHeight="1" x14ac:dyDescent="0.2">
      <c r="C707" s="42"/>
      <c r="AP707" s="41"/>
      <c r="AQ707" s="41"/>
    </row>
    <row r="708" spans="3:43" ht="15.75" customHeight="1" x14ac:dyDescent="0.2">
      <c r="C708" s="42"/>
      <c r="AP708" s="41"/>
      <c r="AQ708" s="41"/>
    </row>
    <row r="709" spans="3:43" ht="15.75" customHeight="1" x14ac:dyDescent="0.2">
      <c r="C709" s="42"/>
      <c r="AP709" s="41"/>
      <c r="AQ709" s="41"/>
    </row>
    <row r="710" spans="3:43" ht="15.75" customHeight="1" x14ac:dyDescent="0.2">
      <c r="C710" s="42"/>
      <c r="AP710" s="41"/>
      <c r="AQ710" s="41"/>
    </row>
    <row r="711" spans="3:43" ht="15.75" customHeight="1" x14ac:dyDescent="0.2">
      <c r="C711" s="42"/>
      <c r="AP711" s="41"/>
      <c r="AQ711" s="41"/>
    </row>
    <row r="712" spans="3:43" ht="15.75" customHeight="1" x14ac:dyDescent="0.2">
      <c r="C712" s="42"/>
      <c r="AP712" s="41"/>
      <c r="AQ712" s="41"/>
    </row>
    <row r="713" spans="3:43" ht="15.75" customHeight="1" x14ac:dyDescent="0.2">
      <c r="C713" s="42"/>
      <c r="AP713" s="41"/>
      <c r="AQ713" s="41"/>
    </row>
    <row r="714" spans="3:43" ht="15.75" customHeight="1" x14ac:dyDescent="0.2">
      <c r="C714" s="42"/>
      <c r="AP714" s="41"/>
      <c r="AQ714" s="41"/>
    </row>
    <row r="715" spans="3:43" ht="15.75" customHeight="1" x14ac:dyDescent="0.2">
      <c r="C715" s="42"/>
      <c r="AP715" s="41"/>
      <c r="AQ715" s="41"/>
    </row>
    <row r="716" spans="3:43" ht="15.75" customHeight="1" x14ac:dyDescent="0.2">
      <c r="C716" s="42"/>
      <c r="AP716" s="41"/>
      <c r="AQ716" s="41"/>
    </row>
    <row r="717" spans="3:43" ht="15.75" customHeight="1" x14ac:dyDescent="0.2">
      <c r="C717" s="42"/>
      <c r="AP717" s="41"/>
      <c r="AQ717" s="41"/>
    </row>
    <row r="718" spans="3:43" ht="15.75" customHeight="1" x14ac:dyDescent="0.2">
      <c r="C718" s="42"/>
      <c r="AP718" s="41"/>
      <c r="AQ718" s="41"/>
    </row>
    <row r="719" spans="3:43" ht="15.75" customHeight="1" x14ac:dyDescent="0.2">
      <c r="C719" s="42"/>
      <c r="AP719" s="41"/>
      <c r="AQ719" s="41"/>
    </row>
    <row r="720" spans="3:43" ht="15.75" customHeight="1" x14ac:dyDescent="0.2">
      <c r="C720" s="42"/>
      <c r="AP720" s="41"/>
      <c r="AQ720" s="41"/>
    </row>
    <row r="721" spans="3:43" ht="15.75" customHeight="1" x14ac:dyDescent="0.2">
      <c r="C721" s="42"/>
      <c r="AP721" s="41"/>
      <c r="AQ721" s="41"/>
    </row>
    <row r="722" spans="3:43" ht="15.75" customHeight="1" x14ac:dyDescent="0.2">
      <c r="C722" s="42"/>
      <c r="AP722" s="41"/>
      <c r="AQ722" s="41"/>
    </row>
    <row r="723" spans="3:43" ht="15.75" customHeight="1" x14ac:dyDescent="0.2">
      <c r="C723" s="42"/>
      <c r="AP723" s="41"/>
      <c r="AQ723" s="41"/>
    </row>
    <row r="724" spans="3:43" ht="15.75" customHeight="1" x14ac:dyDescent="0.2">
      <c r="C724" s="42"/>
      <c r="AP724" s="41"/>
      <c r="AQ724" s="41"/>
    </row>
    <row r="725" spans="3:43" ht="15.75" customHeight="1" x14ac:dyDescent="0.2">
      <c r="C725" s="42"/>
      <c r="AP725" s="41"/>
      <c r="AQ725" s="41"/>
    </row>
    <row r="726" spans="3:43" ht="15.75" customHeight="1" x14ac:dyDescent="0.2">
      <c r="C726" s="42"/>
      <c r="AP726" s="41"/>
      <c r="AQ726" s="41"/>
    </row>
    <row r="727" spans="3:43" ht="15.75" customHeight="1" x14ac:dyDescent="0.2">
      <c r="C727" s="42"/>
      <c r="AP727" s="41"/>
      <c r="AQ727" s="41"/>
    </row>
    <row r="728" spans="3:43" ht="15.75" customHeight="1" x14ac:dyDescent="0.2">
      <c r="C728" s="42"/>
      <c r="AP728" s="41"/>
      <c r="AQ728" s="41"/>
    </row>
    <row r="729" spans="3:43" ht="15.75" customHeight="1" x14ac:dyDescent="0.2">
      <c r="C729" s="42"/>
      <c r="AP729" s="41"/>
      <c r="AQ729" s="41"/>
    </row>
    <row r="730" spans="3:43" ht="15.75" customHeight="1" x14ac:dyDescent="0.2">
      <c r="C730" s="42"/>
      <c r="AP730" s="41"/>
      <c r="AQ730" s="41"/>
    </row>
    <row r="731" spans="3:43" ht="15.75" customHeight="1" x14ac:dyDescent="0.2">
      <c r="C731" s="42"/>
      <c r="AP731" s="41"/>
      <c r="AQ731" s="41"/>
    </row>
    <row r="732" spans="3:43" ht="15.75" customHeight="1" x14ac:dyDescent="0.2">
      <c r="C732" s="42"/>
      <c r="AP732" s="41"/>
      <c r="AQ732" s="41"/>
    </row>
    <row r="733" spans="3:43" ht="15.75" customHeight="1" x14ac:dyDescent="0.2">
      <c r="C733" s="42"/>
      <c r="AP733" s="41"/>
      <c r="AQ733" s="41"/>
    </row>
    <row r="734" spans="3:43" ht="15.75" customHeight="1" x14ac:dyDescent="0.2">
      <c r="C734" s="42"/>
      <c r="AP734" s="41"/>
      <c r="AQ734" s="41"/>
    </row>
    <row r="735" spans="3:43" ht="15.75" customHeight="1" x14ac:dyDescent="0.2">
      <c r="C735" s="42"/>
      <c r="AP735" s="41"/>
      <c r="AQ735" s="41"/>
    </row>
    <row r="736" spans="3:43" ht="15.75" customHeight="1" x14ac:dyDescent="0.2">
      <c r="C736" s="42"/>
      <c r="AP736" s="41"/>
      <c r="AQ736" s="41"/>
    </row>
    <row r="737" spans="3:43" ht="15.75" customHeight="1" x14ac:dyDescent="0.2">
      <c r="C737" s="42"/>
      <c r="AP737" s="41"/>
      <c r="AQ737" s="41"/>
    </row>
    <row r="738" spans="3:43" ht="15.75" customHeight="1" x14ac:dyDescent="0.2">
      <c r="C738" s="42"/>
      <c r="AP738" s="41"/>
      <c r="AQ738" s="41"/>
    </row>
    <row r="739" spans="3:43" ht="15.75" customHeight="1" x14ac:dyDescent="0.2">
      <c r="C739" s="42"/>
      <c r="AP739" s="41"/>
      <c r="AQ739" s="41"/>
    </row>
    <row r="740" spans="3:43" ht="15.75" customHeight="1" x14ac:dyDescent="0.2">
      <c r="C740" s="42"/>
      <c r="AP740" s="41"/>
      <c r="AQ740" s="41"/>
    </row>
    <row r="741" spans="3:43" ht="15.75" customHeight="1" x14ac:dyDescent="0.2">
      <c r="C741" s="42"/>
      <c r="AP741" s="41"/>
      <c r="AQ741" s="41"/>
    </row>
    <row r="742" spans="3:43" ht="15.75" customHeight="1" x14ac:dyDescent="0.2">
      <c r="C742" s="42"/>
      <c r="AP742" s="41"/>
      <c r="AQ742" s="41"/>
    </row>
    <row r="743" spans="3:43" ht="15.75" customHeight="1" x14ac:dyDescent="0.2">
      <c r="C743" s="42"/>
      <c r="AP743" s="41"/>
      <c r="AQ743" s="41"/>
    </row>
    <row r="744" spans="3:43" ht="15.75" customHeight="1" x14ac:dyDescent="0.2">
      <c r="C744" s="42"/>
      <c r="AP744" s="41"/>
      <c r="AQ744" s="41"/>
    </row>
    <row r="745" spans="3:43" ht="15.75" customHeight="1" x14ac:dyDescent="0.2">
      <c r="C745" s="42"/>
      <c r="AP745" s="41"/>
      <c r="AQ745" s="41"/>
    </row>
    <row r="746" spans="3:43" ht="15.75" customHeight="1" x14ac:dyDescent="0.2">
      <c r="C746" s="42"/>
      <c r="AP746" s="41"/>
      <c r="AQ746" s="41"/>
    </row>
    <row r="747" spans="3:43" ht="15.75" customHeight="1" x14ac:dyDescent="0.2">
      <c r="C747" s="42"/>
      <c r="AP747" s="41"/>
      <c r="AQ747" s="41"/>
    </row>
    <row r="748" spans="3:43" ht="15.75" customHeight="1" x14ac:dyDescent="0.2">
      <c r="C748" s="42"/>
      <c r="AP748" s="41"/>
      <c r="AQ748" s="41"/>
    </row>
    <row r="749" spans="3:43" ht="15.75" customHeight="1" x14ac:dyDescent="0.2">
      <c r="C749" s="42"/>
      <c r="AP749" s="41"/>
      <c r="AQ749" s="41"/>
    </row>
    <row r="750" spans="3:43" ht="15.75" customHeight="1" x14ac:dyDescent="0.2">
      <c r="C750" s="42"/>
      <c r="AP750" s="41"/>
      <c r="AQ750" s="41"/>
    </row>
    <row r="751" spans="3:43" ht="15.75" customHeight="1" x14ac:dyDescent="0.2">
      <c r="C751" s="42"/>
      <c r="AP751" s="41"/>
      <c r="AQ751" s="41"/>
    </row>
    <row r="752" spans="3:43" ht="15.75" customHeight="1" x14ac:dyDescent="0.2">
      <c r="C752" s="42"/>
      <c r="AP752" s="41"/>
      <c r="AQ752" s="41"/>
    </row>
    <row r="753" spans="3:43" ht="15.75" customHeight="1" x14ac:dyDescent="0.2">
      <c r="C753" s="42"/>
      <c r="AP753" s="41"/>
      <c r="AQ753" s="41"/>
    </row>
    <row r="754" spans="3:43" ht="15.75" customHeight="1" x14ac:dyDescent="0.2">
      <c r="C754" s="42"/>
      <c r="AP754" s="41"/>
      <c r="AQ754" s="41"/>
    </row>
    <row r="755" spans="3:43" ht="15.75" customHeight="1" x14ac:dyDescent="0.2">
      <c r="C755" s="42"/>
      <c r="AP755" s="41"/>
      <c r="AQ755" s="41"/>
    </row>
    <row r="756" spans="3:43" ht="15.75" customHeight="1" x14ac:dyDescent="0.2">
      <c r="C756" s="42"/>
      <c r="AP756" s="41"/>
      <c r="AQ756" s="41"/>
    </row>
    <row r="757" spans="3:43" ht="15.75" customHeight="1" x14ac:dyDescent="0.2">
      <c r="C757" s="42"/>
      <c r="AP757" s="41"/>
      <c r="AQ757" s="41"/>
    </row>
    <row r="758" spans="3:43" ht="15.75" customHeight="1" x14ac:dyDescent="0.2">
      <c r="C758" s="42"/>
      <c r="AP758" s="41"/>
      <c r="AQ758" s="41"/>
    </row>
    <row r="759" spans="3:43" ht="15.75" customHeight="1" x14ac:dyDescent="0.2">
      <c r="C759" s="42"/>
      <c r="AP759" s="41"/>
      <c r="AQ759" s="41"/>
    </row>
    <row r="760" spans="3:43" ht="15.75" customHeight="1" x14ac:dyDescent="0.2">
      <c r="C760" s="42"/>
      <c r="AP760" s="41"/>
      <c r="AQ760" s="41"/>
    </row>
    <row r="761" spans="3:43" ht="15.75" customHeight="1" x14ac:dyDescent="0.2">
      <c r="C761" s="42"/>
      <c r="AP761" s="41"/>
      <c r="AQ761" s="41"/>
    </row>
    <row r="762" spans="3:43" ht="15.75" customHeight="1" x14ac:dyDescent="0.2">
      <c r="C762" s="42"/>
      <c r="AP762" s="41"/>
      <c r="AQ762" s="41"/>
    </row>
    <row r="763" spans="3:43" ht="15.75" customHeight="1" x14ac:dyDescent="0.2">
      <c r="C763" s="42"/>
      <c r="AP763" s="41"/>
      <c r="AQ763" s="41"/>
    </row>
    <row r="764" spans="3:43" ht="15.75" customHeight="1" x14ac:dyDescent="0.2">
      <c r="C764" s="42"/>
      <c r="AP764" s="41"/>
      <c r="AQ764" s="41"/>
    </row>
    <row r="765" spans="3:43" ht="15.75" customHeight="1" x14ac:dyDescent="0.2">
      <c r="C765" s="42"/>
      <c r="AP765" s="41"/>
      <c r="AQ765" s="41"/>
    </row>
    <row r="766" spans="3:43" ht="15.75" customHeight="1" x14ac:dyDescent="0.2">
      <c r="C766" s="42"/>
      <c r="AP766" s="41"/>
      <c r="AQ766" s="41"/>
    </row>
    <row r="767" spans="3:43" ht="15.75" customHeight="1" x14ac:dyDescent="0.2">
      <c r="C767" s="42"/>
      <c r="AP767" s="41"/>
      <c r="AQ767" s="41"/>
    </row>
    <row r="768" spans="3:43" ht="15.75" customHeight="1" x14ac:dyDescent="0.2">
      <c r="C768" s="42"/>
      <c r="AP768" s="41"/>
      <c r="AQ768" s="41"/>
    </row>
    <row r="769" spans="3:43" ht="15.75" customHeight="1" x14ac:dyDescent="0.2">
      <c r="C769" s="42"/>
      <c r="AP769" s="41"/>
      <c r="AQ769" s="41"/>
    </row>
    <row r="770" spans="3:43" ht="15.75" customHeight="1" x14ac:dyDescent="0.2">
      <c r="C770" s="42"/>
      <c r="AP770" s="41"/>
      <c r="AQ770" s="41"/>
    </row>
    <row r="771" spans="3:43" ht="15.75" customHeight="1" x14ac:dyDescent="0.2">
      <c r="C771" s="42"/>
      <c r="AP771" s="41"/>
      <c r="AQ771" s="41"/>
    </row>
    <row r="772" spans="3:43" ht="15.75" customHeight="1" x14ac:dyDescent="0.2">
      <c r="C772" s="42"/>
      <c r="AP772" s="41"/>
      <c r="AQ772" s="41"/>
    </row>
    <row r="773" spans="3:43" ht="15.75" customHeight="1" x14ac:dyDescent="0.2">
      <c r="C773" s="42"/>
      <c r="AP773" s="41"/>
      <c r="AQ773" s="41"/>
    </row>
    <row r="774" spans="3:43" ht="15.75" customHeight="1" x14ac:dyDescent="0.2">
      <c r="C774" s="42"/>
      <c r="AP774" s="41"/>
      <c r="AQ774" s="41"/>
    </row>
    <row r="775" spans="3:43" ht="15.75" customHeight="1" x14ac:dyDescent="0.2">
      <c r="C775" s="42"/>
      <c r="AP775" s="41"/>
      <c r="AQ775" s="41"/>
    </row>
    <row r="776" spans="3:43" ht="15.75" customHeight="1" x14ac:dyDescent="0.2">
      <c r="C776" s="42"/>
      <c r="AP776" s="41"/>
      <c r="AQ776" s="41"/>
    </row>
    <row r="777" spans="3:43" ht="15.75" customHeight="1" x14ac:dyDescent="0.2">
      <c r="C777" s="42"/>
      <c r="AP777" s="41"/>
      <c r="AQ777" s="41"/>
    </row>
    <row r="778" spans="3:43" ht="15.75" customHeight="1" x14ac:dyDescent="0.2">
      <c r="C778" s="42"/>
      <c r="AP778" s="41"/>
      <c r="AQ778" s="41"/>
    </row>
    <row r="779" spans="3:43" ht="15.75" customHeight="1" x14ac:dyDescent="0.2">
      <c r="C779" s="42"/>
      <c r="AP779" s="41"/>
      <c r="AQ779" s="41"/>
    </row>
    <row r="780" spans="3:43" ht="15.75" customHeight="1" x14ac:dyDescent="0.2">
      <c r="C780" s="42"/>
      <c r="AP780" s="41"/>
      <c r="AQ780" s="41"/>
    </row>
    <row r="781" spans="3:43" ht="15.75" customHeight="1" x14ac:dyDescent="0.2">
      <c r="C781" s="42"/>
      <c r="AP781" s="41"/>
      <c r="AQ781" s="41"/>
    </row>
    <row r="782" spans="3:43" ht="15.75" customHeight="1" x14ac:dyDescent="0.2">
      <c r="C782" s="42"/>
      <c r="AP782" s="41"/>
      <c r="AQ782" s="41"/>
    </row>
    <row r="783" spans="3:43" ht="15.75" customHeight="1" x14ac:dyDescent="0.2">
      <c r="C783" s="42"/>
      <c r="AP783" s="41"/>
      <c r="AQ783" s="41"/>
    </row>
    <row r="784" spans="3:43" ht="15.75" customHeight="1" x14ac:dyDescent="0.2">
      <c r="C784" s="42"/>
      <c r="AP784" s="41"/>
      <c r="AQ784" s="41"/>
    </row>
    <row r="785" spans="3:43" ht="15.75" customHeight="1" x14ac:dyDescent="0.2">
      <c r="C785" s="42"/>
      <c r="AP785" s="41"/>
      <c r="AQ785" s="41"/>
    </row>
    <row r="786" spans="3:43" ht="15.75" customHeight="1" x14ac:dyDescent="0.2">
      <c r="C786" s="42"/>
      <c r="AP786" s="41"/>
      <c r="AQ786" s="41"/>
    </row>
    <row r="787" spans="3:43" ht="15.75" customHeight="1" x14ac:dyDescent="0.2">
      <c r="C787" s="42"/>
      <c r="AP787" s="41"/>
      <c r="AQ787" s="41"/>
    </row>
    <row r="788" spans="3:43" ht="15.75" customHeight="1" x14ac:dyDescent="0.2">
      <c r="C788" s="42"/>
      <c r="AP788" s="41"/>
      <c r="AQ788" s="41"/>
    </row>
    <row r="789" spans="3:43" ht="15.75" customHeight="1" x14ac:dyDescent="0.2">
      <c r="C789" s="42"/>
      <c r="AP789" s="41"/>
      <c r="AQ789" s="41"/>
    </row>
    <row r="790" spans="3:43" ht="15.75" customHeight="1" x14ac:dyDescent="0.2">
      <c r="C790" s="42"/>
      <c r="AP790" s="41"/>
      <c r="AQ790" s="41"/>
    </row>
    <row r="791" spans="3:43" ht="15.75" customHeight="1" x14ac:dyDescent="0.2">
      <c r="C791" s="42"/>
      <c r="AP791" s="41"/>
      <c r="AQ791" s="41"/>
    </row>
    <row r="792" spans="3:43" ht="15.75" customHeight="1" x14ac:dyDescent="0.2">
      <c r="C792" s="42"/>
      <c r="AP792" s="41"/>
      <c r="AQ792" s="41"/>
    </row>
    <row r="793" spans="3:43" ht="15.75" customHeight="1" x14ac:dyDescent="0.2">
      <c r="C793" s="42"/>
      <c r="AP793" s="41"/>
      <c r="AQ793" s="41"/>
    </row>
    <row r="794" spans="3:43" ht="15.75" customHeight="1" x14ac:dyDescent="0.2">
      <c r="C794" s="42"/>
      <c r="AP794" s="41"/>
      <c r="AQ794" s="41"/>
    </row>
    <row r="795" spans="3:43" ht="15.75" customHeight="1" x14ac:dyDescent="0.2">
      <c r="C795" s="42"/>
      <c r="AP795" s="41"/>
      <c r="AQ795" s="41"/>
    </row>
    <row r="796" spans="3:43" ht="15.75" customHeight="1" x14ac:dyDescent="0.2">
      <c r="C796" s="42"/>
      <c r="AP796" s="41"/>
      <c r="AQ796" s="41"/>
    </row>
    <row r="797" spans="3:43" ht="15.75" customHeight="1" x14ac:dyDescent="0.2">
      <c r="C797" s="42"/>
      <c r="AP797" s="41"/>
      <c r="AQ797" s="41"/>
    </row>
    <row r="798" spans="3:43" ht="15.75" customHeight="1" x14ac:dyDescent="0.2">
      <c r="C798" s="42"/>
      <c r="AP798" s="41"/>
      <c r="AQ798" s="41"/>
    </row>
    <row r="799" spans="3:43" ht="15.75" customHeight="1" x14ac:dyDescent="0.2">
      <c r="C799" s="42"/>
      <c r="AP799" s="41"/>
      <c r="AQ799" s="41"/>
    </row>
    <row r="800" spans="3:43" ht="15.75" customHeight="1" x14ac:dyDescent="0.2">
      <c r="C800" s="42"/>
      <c r="AP800" s="41"/>
      <c r="AQ800" s="41"/>
    </row>
    <row r="801" spans="3:43" ht="15.75" customHeight="1" x14ac:dyDescent="0.2">
      <c r="C801" s="42"/>
      <c r="AP801" s="41"/>
      <c r="AQ801" s="41"/>
    </row>
    <row r="802" spans="3:43" ht="15.75" customHeight="1" x14ac:dyDescent="0.2">
      <c r="C802" s="42"/>
      <c r="AP802" s="41"/>
      <c r="AQ802" s="41"/>
    </row>
    <row r="803" spans="3:43" ht="15.75" customHeight="1" x14ac:dyDescent="0.2">
      <c r="C803" s="42"/>
      <c r="AP803" s="41"/>
      <c r="AQ803" s="41"/>
    </row>
    <row r="804" spans="3:43" ht="15.75" customHeight="1" x14ac:dyDescent="0.2">
      <c r="C804" s="42"/>
      <c r="AP804" s="41"/>
      <c r="AQ804" s="41"/>
    </row>
    <row r="805" spans="3:43" ht="15.75" customHeight="1" x14ac:dyDescent="0.2">
      <c r="C805" s="42"/>
      <c r="AP805" s="41"/>
      <c r="AQ805" s="41"/>
    </row>
    <row r="806" spans="3:43" ht="15.75" customHeight="1" x14ac:dyDescent="0.2">
      <c r="C806" s="42"/>
      <c r="AP806" s="41"/>
      <c r="AQ806" s="41"/>
    </row>
    <row r="807" spans="3:43" ht="15.75" customHeight="1" x14ac:dyDescent="0.2">
      <c r="C807" s="42"/>
      <c r="AP807" s="41"/>
      <c r="AQ807" s="41"/>
    </row>
    <row r="808" spans="3:43" ht="15.75" customHeight="1" x14ac:dyDescent="0.2">
      <c r="C808" s="42"/>
      <c r="AP808" s="41"/>
      <c r="AQ808" s="41"/>
    </row>
    <row r="809" spans="3:43" ht="15.75" customHeight="1" x14ac:dyDescent="0.2">
      <c r="C809" s="42"/>
      <c r="AP809" s="41"/>
      <c r="AQ809" s="41"/>
    </row>
    <row r="810" spans="3:43" ht="15.75" customHeight="1" x14ac:dyDescent="0.2">
      <c r="C810" s="42"/>
      <c r="AP810" s="41"/>
      <c r="AQ810" s="41"/>
    </row>
    <row r="811" spans="3:43" ht="15.75" customHeight="1" x14ac:dyDescent="0.2">
      <c r="C811" s="42"/>
      <c r="AP811" s="41"/>
      <c r="AQ811" s="41"/>
    </row>
    <row r="812" spans="3:43" ht="15.75" customHeight="1" x14ac:dyDescent="0.2">
      <c r="C812" s="42"/>
      <c r="AP812" s="41"/>
      <c r="AQ812" s="41"/>
    </row>
    <row r="813" spans="3:43" ht="15.75" customHeight="1" x14ac:dyDescent="0.2">
      <c r="C813" s="42"/>
      <c r="AP813" s="41"/>
      <c r="AQ813" s="41"/>
    </row>
    <row r="814" spans="3:43" ht="15.75" customHeight="1" x14ac:dyDescent="0.2">
      <c r="C814" s="42"/>
      <c r="AP814" s="41"/>
      <c r="AQ814" s="41"/>
    </row>
    <row r="815" spans="3:43" ht="15.75" customHeight="1" x14ac:dyDescent="0.2">
      <c r="C815" s="42"/>
      <c r="AP815" s="41"/>
      <c r="AQ815" s="41"/>
    </row>
    <row r="816" spans="3:43" ht="15.75" customHeight="1" x14ac:dyDescent="0.2">
      <c r="C816" s="42"/>
      <c r="AP816" s="41"/>
      <c r="AQ816" s="41"/>
    </row>
    <row r="817" spans="3:43" ht="15.75" customHeight="1" x14ac:dyDescent="0.2">
      <c r="C817" s="42"/>
      <c r="AP817" s="41"/>
      <c r="AQ817" s="41"/>
    </row>
    <row r="818" spans="3:43" ht="15.75" customHeight="1" x14ac:dyDescent="0.2">
      <c r="C818" s="42"/>
      <c r="AP818" s="41"/>
      <c r="AQ818" s="41"/>
    </row>
    <row r="819" spans="3:43" ht="15.75" customHeight="1" x14ac:dyDescent="0.2">
      <c r="C819" s="42"/>
      <c r="AP819" s="41"/>
      <c r="AQ819" s="41"/>
    </row>
    <row r="820" spans="3:43" ht="15.75" customHeight="1" x14ac:dyDescent="0.2">
      <c r="C820" s="42"/>
      <c r="AP820" s="41"/>
      <c r="AQ820" s="41"/>
    </row>
    <row r="821" spans="3:43" ht="15.75" customHeight="1" x14ac:dyDescent="0.2">
      <c r="C821" s="42"/>
      <c r="AP821" s="41"/>
      <c r="AQ821" s="41"/>
    </row>
    <row r="822" spans="3:43" ht="15.75" customHeight="1" x14ac:dyDescent="0.2">
      <c r="C822" s="42"/>
      <c r="AP822" s="41"/>
      <c r="AQ822" s="41"/>
    </row>
    <row r="823" spans="3:43" ht="15.75" customHeight="1" x14ac:dyDescent="0.2">
      <c r="C823" s="42"/>
      <c r="AP823" s="41"/>
      <c r="AQ823" s="41"/>
    </row>
    <row r="824" spans="3:43" ht="15.75" customHeight="1" x14ac:dyDescent="0.2">
      <c r="C824" s="42"/>
      <c r="AP824" s="41"/>
      <c r="AQ824" s="41"/>
    </row>
    <row r="825" spans="3:43" ht="15.75" customHeight="1" x14ac:dyDescent="0.2">
      <c r="C825" s="42"/>
      <c r="AP825" s="41"/>
      <c r="AQ825" s="41"/>
    </row>
    <row r="826" spans="3:43" ht="15.75" customHeight="1" x14ac:dyDescent="0.2">
      <c r="C826" s="42"/>
      <c r="AP826" s="41"/>
      <c r="AQ826" s="41"/>
    </row>
    <row r="827" spans="3:43" ht="15.75" customHeight="1" x14ac:dyDescent="0.2">
      <c r="C827" s="42"/>
      <c r="AP827" s="41"/>
      <c r="AQ827" s="41"/>
    </row>
    <row r="828" spans="3:43" ht="15.75" customHeight="1" x14ac:dyDescent="0.2">
      <c r="C828" s="42"/>
      <c r="AP828" s="41"/>
      <c r="AQ828" s="41"/>
    </row>
    <row r="829" spans="3:43" ht="15.75" customHeight="1" x14ac:dyDescent="0.2">
      <c r="C829" s="42"/>
      <c r="AP829" s="41"/>
      <c r="AQ829" s="41"/>
    </row>
    <row r="830" spans="3:43" ht="15.75" customHeight="1" x14ac:dyDescent="0.2">
      <c r="C830" s="42"/>
      <c r="AP830" s="41"/>
      <c r="AQ830" s="41"/>
    </row>
    <row r="831" spans="3:43" ht="15.75" customHeight="1" x14ac:dyDescent="0.2">
      <c r="C831" s="42"/>
      <c r="AP831" s="41"/>
      <c r="AQ831" s="41"/>
    </row>
    <row r="832" spans="3:43" ht="15.75" customHeight="1" x14ac:dyDescent="0.2">
      <c r="C832" s="42"/>
      <c r="AP832" s="41"/>
      <c r="AQ832" s="41"/>
    </row>
    <row r="833" spans="3:43" ht="15.75" customHeight="1" x14ac:dyDescent="0.2">
      <c r="C833" s="42"/>
      <c r="AP833" s="41"/>
      <c r="AQ833" s="41"/>
    </row>
    <row r="834" spans="3:43" ht="15.75" customHeight="1" x14ac:dyDescent="0.2">
      <c r="C834" s="42"/>
      <c r="AP834" s="41"/>
      <c r="AQ834" s="41"/>
    </row>
    <row r="835" spans="3:43" ht="15.75" customHeight="1" x14ac:dyDescent="0.2">
      <c r="C835" s="42"/>
      <c r="AP835" s="41"/>
      <c r="AQ835" s="41"/>
    </row>
    <row r="836" spans="3:43" ht="15.75" customHeight="1" x14ac:dyDescent="0.2">
      <c r="C836" s="42"/>
      <c r="AP836" s="41"/>
      <c r="AQ836" s="41"/>
    </row>
    <row r="837" spans="3:43" ht="15.75" customHeight="1" x14ac:dyDescent="0.2">
      <c r="C837" s="42"/>
      <c r="AP837" s="41"/>
      <c r="AQ837" s="41"/>
    </row>
    <row r="838" spans="3:43" ht="15.75" customHeight="1" x14ac:dyDescent="0.2">
      <c r="C838" s="42"/>
      <c r="AP838" s="41"/>
      <c r="AQ838" s="41"/>
    </row>
    <row r="839" spans="3:43" ht="15.75" customHeight="1" x14ac:dyDescent="0.2">
      <c r="C839" s="42"/>
      <c r="AP839" s="41"/>
      <c r="AQ839" s="41"/>
    </row>
    <row r="840" spans="3:43" ht="15.75" customHeight="1" x14ac:dyDescent="0.2">
      <c r="C840" s="42"/>
      <c r="AP840" s="41"/>
      <c r="AQ840" s="41"/>
    </row>
    <row r="841" spans="3:43" ht="15.75" customHeight="1" x14ac:dyDescent="0.2">
      <c r="C841" s="42"/>
      <c r="AP841" s="41"/>
      <c r="AQ841" s="41"/>
    </row>
    <row r="842" spans="3:43" ht="15.75" customHeight="1" x14ac:dyDescent="0.2">
      <c r="C842" s="42"/>
      <c r="AP842" s="41"/>
      <c r="AQ842" s="41"/>
    </row>
    <row r="843" spans="3:43" ht="15.75" customHeight="1" x14ac:dyDescent="0.2">
      <c r="C843" s="42"/>
      <c r="AP843" s="41"/>
      <c r="AQ843" s="41"/>
    </row>
    <row r="844" spans="3:43" ht="15.75" customHeight="1" x14ac:dyDescent="0.2">
      <c r="C844" s="42"/>
      <c r="AP844" s="41"/>
      <c r="AQ844" s="41"/>
    </row>
    <row r="845" spans="3:43" ht="15.75" customHeight="1" x14ac:dyDescent="0.2">
      <c r="C845" s="42"/>
      <c r="AP845" s="41"/>
      <c r="AQ845" s="41"/>
    </row>
    <row r="846" spans="3:43" ht="15.75" customHeight="1" x14ac:dyDescent="0.2">
      <c r="C846" s="42"/>
      <c r="AP846" s="41"/>
      <c r="AQ846" s="41"/>
    </row>
    <row r="847" spans="3:43" ht="15.75" customHeight="1" x14ac:dyDescent="0.2">
      <c r="C847" s="42"/>
      <c r="AP847" s="41"/>
      <c r="AQ847" s="41"/>
    </row>
    <row r="848" spans="3:43" ht="15.75" customHeight="1" x14ac:dyDescent="0.2">
      <c r="C848" s="42"/>
      <c r="AP848" s="41"/>
      <c r="AQ848" s="41"/>
    </row>
    <row r="849" spans="3:43" ht="15.75" customHeight="1" x14ac:dyDescent="0.2">
      <c r="C849" s="42"/>
      <c r="AP849" s="41"/>
      <c r="AQ849" s="41"/>
    </row>
    <row r="850" spans="3:43" ht="15.75" customHeight="1" x14ac:dyDescent="0.2">
      <c r="C850" s="42"/>
      <c r="AP850" s="41"/>
      <c r="AQ850" s="41"/>
    </row>
    <row r="851" spans="3:43" ht="15.75" customHeight="1" x14ac:dyDescent="0.2">
      <c r="C851" s="42"/>
      <c r="AP851" s="41"/>
      <c r="AQ851" s="41"/>
    </row>
    <row r="852" spans="3:43" ht="15.75" customHeight="1" x14ac:dyDescent="0.2">
      <c r="C852" s="42"/>
      <c r="AP852" s="41"/>
      <c r="AQ852" s="41"/>
    </row>
    <row r="853" spans="3:43" ht="15.75" customHeight="1" x14ac:dyDescent="0.2">
      <c r="C853" s="42"/>
      <c r="AP853" s="41"/>
      <c r="AQ853" s="41"/>
    </row>
    <row r="854" spans="3:43" ht="15.75" customHeight="1" x14ac:dyDescent="0.2">
      <c r="C854" s="42"/>
      <c r="AP854" s="41"/>
      <c r="AQ854" s="41"/>
    </row>
    <row r="855" spans="3:43" ht="15.75" customHeight="1" x14ac:dyDescent="0.2">
      <c r="C855" s="42"/>
      <c r="AP855" s="41"/>
      <c r="AQ855" s="41"/>
    </row>
    <row r="856" spans="3:43" ht="15.75" customHeight="1" x14ac:dyDescent="0.2">
      <c r="C856" s="42"/>
      <c r="AP856" s="41"/>
      <c r="AQ856" s="41"/>
    </row>
    <row r="857" spans="3:43" ht="15.75" customHeight="1" x14ac:dyDescent="0.2">
      <c r="C857" s="42"/>
      <c r="AP857" s="41"/>
      <c r="AQ857" s="41"/>
    </row>
    <row r="858" spans="3:43" ht="15.75" customHeight="1" x14ac:dyDescent="0.2">
      <c r="C858" s="42"/>
      <c r="AP858" s="41"/>
      <c r="AQ858" s="41"/>
    </row>
    <row r="859" spans="3:43" ht="15.75" customHeight="1" x14ac:dyDescent="0.2">
      <c r="C859" s="42"/>
      <c r="AP859" s="41"/>
      <c r="AQ859" s="41"/>
    </row>
    <row r="860" spans="3:43" ht="15.75" customHeight="1" x14ac:dyDescent="0.2">
      <c r="C860" s="42"/>
      <c r="AP860" s="41"/>
      <c r="AQ860" s="41"/>
    </row>
    <row r="861" spans="3:43" ht="15.75" customHeight="1" x14ac:dyDescent="0.2">
      <c r="C861" s="42"/>
      <c r="AP861" s="41"/>
      <c r="AQ861" s="41"/>
    </row>
    <row r="862" spans="3:43" ht="15.75" customHeight="1" x14ac:dyDescent="0.2">
      <c r="C862" s="42"/>
      <c r="AP862" s="41"/>
      <c r="AQ862" s="41"/>
    </row>
    <row r="863" spans="3:43" ht="15.75" customHeight="1" x14ac:dyDescent="0.2">
      <c r="C863" s="42"/>
      <c r="AP863" s="41"/>
      <c r="AQ863" s="41"/>
    </row>
    <row r="864" spans="3:43" ht="15.75" customHeight="1" x14ac:dyDescent="0.2">
      <c r="C864" s="42"/>
      <c r="AP864" s="41"/>
      <c r="AQ864" s="41"/>
    </row>
    <row r="865" spans="3:43" ht="15.75" customHeight="1" x14ac:dyDescent="0.2">
      <c r="C865" s="42"/>
      <c r="AP865" s="41"/>
      <c r="AQ865" s="41"/>
    </row>
    <row r="866" spans="3:43" ht="15.75" customHeight="1" x14ac:dyDescent="0.2">
      <c r="C866" s="42"/>
      <c r="AP866" s="41"/>
      <c r="AQ866" s="41"/>
    </row>
    <row r="867" spans="3:43" ht="15.75" customHeight="1" x14ac:dyDescent="0.2">
      <c r="C867" s="42"/>
      <c r="AP867" s="41"/>
      <c r="AQ867" s="41"/>
    </row>
    <row r="868" spans="3:43" ht="15.75" customHeight="1" x14ac:dyDescent="0.2">
      <c r="C868" s="42"/>
      <c r="AP868" s="41"/>
      <c r="AQ868" s="41"/>
    </row>
    <row r="869" spans="3:43" ht="15.75" customHeight="1" x14ac:dyDescent="0.2">
      <c r="C869" s="42"/>
      <c r="AP869" s="41"/>
      <c r="AQ869" s="41"/>
    </row>
    <row r="870" spans="3:43" ht="15.75" customHeight="1" x14ac:dyDescent="0.2">
      <c r="C870" s="42"/>
      <c r="AP870" s="41"/>
      <c r="AQ870" s="41"/>
    </row>
    <row r="871" spans="3:43" ht="15.75" customHeight="1" x14ac:dyDescent="0.2">
      <c r="C871" s="42"/>
      <c r="AP871" s="41"/>
      <c r="AQ871" s="41"/>
    </row>
    <row r="872" spans="3:43" ht="15.75" customHeight="1" x14ac:dyDescent="0.2">
      <c r="C872" s="42"/>
      <c r="AP872" s="41"/>
      <c r="AQ872" s="41"/>
    </row>
    <row r="873" spans="3:43" ht="15.75" customHeight="1" x14ac:dyDescent="0.2">
      <c r="C873" s="42"/>
      <c r="AP873" s="41"/>
      <c r="AQ873" s="41"/>
    </row>
    <row r="874" spans="3:43" ht="15.75" customHeight="1" x14ac:dyDescent="0.2">
      <c r="C874" s="42"/>
      <c r="AP874" s="41"/>
      <c r="AQ874" s="41"/>
    </row>
    <row r="875" spans="3:43" ht="15.75" customHeight="1" x14ac:dyDescent="0.2">
      <c r="C875" s="42"/>
      <c r="AP875" s="41"/>
      <c r="AQ875" s="41"/>
    </row>
    <row r="876" spans="3:43" ht="15.75" customHeight="1" x14ac:dyDescent="0.2">
      <c r="C876" s="42"/>
      <c r="AP876" s="41"/>
      <c r="AQ876" s="41"/>
    </row>
    <row r="877" spans="3:43" ht="15.75" customHeight="1" x14ac:dyDescent="0.2">
      <c r="C877" s="42"/>
      <c r="AP877" s="41"/>
      <c r="AQ877" s="41"/>
    </row>
    <row r="878" spans="3:43" ht="15.75" customHeight="1" x14ac:dyDescent="0.2">
      <c r="C878" s="42"/>
      <c r="AP878" s="41"/>
      <c r="AQ878" s="41"/>
    </row>
    <row r="879" spans="3:43" ht="15.75" customHeight="1" x14ac:dyDescent="0.2">
      <c r="C879" s="42"/>
      <c r="AP879" s="41"/>
      <c r="AQ879" s="41"/>
    </row>
    <row r="880" spans="3:43" ht="15.75" customHeight="1" x14ac:dyDescent="0.2">
      <c r="C880" s="42"/>
      <c r="AP880" s="41"/>
      <c r="AQ880" s="41"/>
    </row>
    <row r="881" spans="3:43" ht="15.75" customHeight="1" x14ac:dyDescent="0.2">
      <c r="C881" s="42"/>
      <c r="AP881" s="41"/>
      <c r="AQ881" s="41"/>
    </row>
    <row r="882" spans="3:43" ht="15.75" customHeight="1" x14ac:dyDescent="0.2">
      <c r="C882" s="42"/>
      <c r="AP882" s="41"/>
      <c r="AQ882" s="41"/>
    </row>
    <row r="883" spans="3:43" ht="15.75" customHeight="1" x14ac:dyDescent="0.2">
      <c r="C883" s="42"/>
      <c r="AP883" s="41"/>
      <c r="AQ883" s="41"/>
    </row>
    <row r="884" spans="3:43" ht="15.75" customHeight="1" x14ac:dyDescent="0.2">
      <c r="C884" s="42"/>
      <c r="AP884" s="41"/>
      <c r="AQ884" s="41"/>
    </row>
    <row r="885" spans="3:43" ht="15.75" customHeight="1" x14ac:dyDescent="0.2">
      <c r="C885" s="42"/>
      <c r="AP885" s="41"/>
      <c r="AQ885" s="41"/>
    </row>
    <row r="886" spans="3:43" ht="15.75" customHeight="1" x14ac:dyDescent="0.2">
      <c r="C886" s="42"/>
      <c r="AP886" s="41"/>
      <c r="AQ886" s="41"/>
    </row>
    <row r="887" spans="3:43" ht="15.75" customHeight="1" x14ac:dyDescent="0.2">
      <c r="C887" s="42"/>
      <c r="AP887" s="41"/>
      <c r="AQ887" s="41"/>
    </row>
    <row r="888" spans="3:43" ht="15.75" customHeight="1" x14ac:dyDescent="0.2">
      <c r="C888" s="42"/>
      <c r="AP888" s="41"/>
      <c r="AQ888" s="41"/>
    </row>
    <row r="889" spans="3:43" ht="15.75" customHeight="1" x14ac:dyDescent="0.2">
      <c r="C889" s="42"/>
      <c r="AP889" s="41"/>
      <c r="AQ889" s="41"/>
    </row>
    <row r="890" spans="3:43" ht="15.75" customHeight="1" x14ac:dyDescent="0.2">
      <c r="C890" s="42"/>
      <c r="AP890" s="41"/>
      <c r="AQ890" s="41"/>
    </row>
    <row r="891" spans="3:43" ht="15.75" customHeight="1" x14ac:dyDescent="0.2">
      <c r="C891" s="42"/>
      <c r="AP891" s="41"/>
      <c r="AQ891" s="41"/>
    </row>
    <row r="892" spans="3:43" ht="15.75" customHeight="1" x14ac:dyDescent="0.2">
      <c r="C892" s="42"/>
      <c r="AP892" s="41"/>
      <c r="AQ892" s="41"/>
    </row>
    <row r="893" spans="3:43" ht="15.75" customHeight="1" x14ac:dyDescent="0.2">
      <c r="C893" s="42"/>
      <c r="AP893" s="41"/>
      <c r="AQ893" s="41"/>
    </row>
    <row r="894" spans="3:43" ht="15.75" customHeight="1" x14ac:dyDescent="0.2">
      <c r="C894" s="42"/>
      <c r="AP894" s="41"/>
      <c r="AQ894" s="41"/>
    </row>
    <row r="895" spans="3:43" ht="15.75" customHeight="1" x14ac:dyDescent="0.2">
      <c r="C895" s="42"/>
      <c r="AP895" s="41"/>
      <c r="AQ895" s="41"/>
    </row>
    <row r="896" spans="3:43" ht="15.75" customHeight="1" x14ac:dyDescent="0.2">
      <c r="C896" s="42"/>
      <c r="AP896" s="41"/>
      <c r="AQ896" s="41"/>
    </row>
    <row r="897" spans="3:43" ht="15.75" customHeight="1" x14ac:dyDescent="0.2">
      <c r="C897" s="42"/>
      <c r="AP897" s="41"/>
      <c r="AQ897" s="41"/>
    </row>
    <row r="898" spans="3:43" ht="15.75" customHeight="1" x14ac:dyDescent="0.2">
      <c r="C898" s="42"/>
      <c r="AP898" s="41"/>
      <c r="AQ898" s="41"/>
    </row>
    <row r="899" spans="3:43" ht="15.75" customHeight="1" x14ac:dyDescent="0.2">
      <c r="C899" s="42"/>
      <c r="AP899" s="41"/>
      <c r="AQ899" s="41"/>
    </row>
    <row r="900" spans="3:43" ht="15.75" customHeight="1" x14ac:dyDescent="0.2">
      <c r="C900" s="42"/>
      <c r="AP900" s="41"/>
      <c r="AQ900" s="41"/>
    </row>
    <row r="901" spans="3:43" ht="15.75" customHeight="1" x14ac:dyDescent="0.2">
      <c r="C901" s="42"/>
      <c r="AP901" s="41"/>
      <c r="AQ901" s="41"/>
    </row>
    <row r="902" spans="3:43" ht="15.75" customHeight="1" x14ac:dyDescent="0.2">
      <c r="C902" s="42"/>
      <c r="AP902" s="41"/>
      <c r="AQ902" s="41"/>
    </row>
    <row r="903" spans="3:43" ht="15.75" customHeight="1" x14ac:dyDescent="0.2">
      <c r="C903" s="42"/>
      <c r="AP903" s="41"/>
      <c r="AQ903" s="41"/>
    </row>
    <row r="904" spans="3:43" ht="15.75" customHeight="1" x14ac:dyDescent="0.2">
      <c r="C904" s="42"/>
      <c r="AP904" s="41"/>
      <c r="AQ904" s="41"/>
    </row>
    <row r="905" spans="3:43" ht="15.75" customHeight="1" x14ac:dyDescent="0.2">
      <c r="C905" s="42"/>
      <c r="AP905" s="41"/>
      <c r="AQ905" s="41"/>
    </row>
    <row r="906" spans="3:43" ht="15.75" customHeight="1" x14ac:dyDescent="0.2">
      <c r="C906" s="42"/>
      <c r="AP906" s="41"/>
      <c r="AQ906" s="41"/>
    </row>
    <row r="907" spans="3:43" ht="15.75" customHeight="1" x14ac:dyDescent="0.2">
      <c r="C907" s="42"/>
      <c r="AP907" s="41"/>
      <c r="AQ907" s="41"/>
    </row>
    <row r="908" spans="3:43" ht="15.75" customHeight="1" x14ac:dyDescent="0.2">
      <c r="C908" s="42"/>
      <c r="AP908" s="41"/>
      <c r="AQ908" s="41"/>
    </row>
    <row r="909" spans="3:43" ht="15.75" customHeight="1" x14ac:dyDescent="0.2">
      <c r="C909" s="42"/>
      <c r="AP909" s="41"/>
      <c r="AQ909" s="41"/>
    </row>
    <row r="910" spans="3:43" ht="15.75" customHeight="1" x14ac:dyDescent="0.2">
      <c r="C910" s="42"/>
      <c r="AP910" s="41"/>
      <c r="AQ910" s="41"/>
    </row>
    <row r="911" spans="3:43" ht="15.75" customHeight="1" x14ac:dyDescent="0.2">
      <c r="C911" s="42"/>
      <c r="AP911" s="41"/>
      <c r="AQ911" s="41"/>
    </row>
    <row r="912" spans="3:43" ht="15.75" customHeight="1" x14ac:dyDescent="0.2">
      <c r="C912" s="42"/>
      <c r="AP912" s="41"/>
      <c r="AQ912" s="41"/>
    </row>
    <row r="913" spans="3:43" ht="15.75" customHeight="1" x14ac:dyDescent="0.2">
      <c r="C913" s="42"/>
      <c r="AP913" s="41"/>
      <c r="AQ913" s="41"/>
    </row>
    <row r="914" spans="3:43" ht="15.75" customHeight="1" x14ac:dyDescent="0.2">
      <c r="C914" s="42"/>
      <c r="AP914" s="41"/>
      <c r="AQ914" s="41"/>
    </row>
    <row r="915" spans="3:43" ht="15.75" customHeight="1" x14ac:dyDescent="0.2">
      <c r="C915" s="42"/>
      <c r="AP915" s="41"/>
      <c r="AQ915" s="41"/>
    </row>
    <row r="916" spans="3:43" ht="15.75" customHeight="1" x14ac:dyDescent="0.2">
      <c r="C916" s="42"/>
      <c r="AP916" s="41"/>
      <c r="AQ916" s="41"/>
    </row>
    <row r="917" spans="3:43" ht="15.75" customHeight="1" x14ac:dyDescent="0.2">
      <c r="C917" s="42"/>
      <c r="AP917" s="41"/>
      <c r="AQ917" s="41"/>
    </row>
    <row r="918" spans="3:43" ht="15.75" customHeight="1" x14ac:dyDescent="0.2">
      <c r="C918" s="42"/>
      <c r="AP918" s="41"/>
      <c r="AQ918" s="41"/>
    </row>
    <row r="919" spans="3:43" ht="15.75" customHeight="1" x14ac:dyDescent="0.2">
      <c r="C919" s="42"/>
      <c r="AP919" s="41"/>
      <c r="AQ919" s="41"/>
    </row>
    <row r="920" spans="3:43" ht="15.75" customHeight="1" x14ac:dyDescent="0.2">
      <c r="C920" s="42"/>
      <c r="AP920" s="41"/>
      <c r="AQ920" s="41"/>
    </row>
    <row r="921" spans="3:43" ht="15.75" customHeight="1" x14ac:dyDescent="0.2">
      <c r="C921" s="42"/>
      <c r="AP921" s="41"/>
      <c r="AQ921" s="41"/>
    </row>
    <row r="922" spans="3:43" ht="15.75" customHeight="1" x14ac:dyDescent="0.2">
      <c r="C922" s="42"/>
      <c r="AP922" s="41"/>
      <c r="AQ922" s="41"/>
    </row>
    <row r="923" spans="3:43" ht="15.75" customHeight="1" x14ac:dyDescent="0.2">
      <c r="C923" s="42"/>
      <c r="AP923" s="41"/>
      <c r="AQ923" s="41"/>
    </row>
    <row r="924" spans="3:43" ht="15.75" customHeight="1" x14ac:dyDescent="0.2">
      <c r="C924" s="42"/>
      <c r="AP924" s="41"/>
      <c r="AQ924" s="41"/>
    </row>
    <row r="925" spans="3:43" ht="15.75" customHeight="1" x14ac:dyDescent="0.2">
      <c r="C925" s="42"/>
      <c r="AP925" s="41"/>
      <c r="AQ925" s="41"/>
    </row>
    <row r="926" spans="3:43" ht="15.75" customHeight="1" x14ac:dyDescent="0.2">
      <c r="C926" s="42"/>
      <c r="AP926" s="41"/>
      <c r="AQ926" s="41"/>
    </row>
    <row r="927" spans="3:43" ht="15.75" customHeight="1" x14ac:dyDescent="0.2">
      <c r="C927" s="42"/>
      <c r="AP927" s="41"/>
      <c r="AQ927" s="41"/>
    </row>
    <row r="928" spans="3:43" ht="15.75" customHeight="1" x14ac:dyDescent="0.2">
      <c r="C928" s="42"/>
      <c r="AP928" s="41"/>
      <c r="AQ928" s="41"/>
    </row>
    <row r="929" spans="3:43" ht="15.75" customHeight="1" x14ac:dyDescent="0.2">
      <c r="C929" s="42"/>
      <c r="AP929" s="41"/>
      <c r="AQ929" s="41"/>
    </row>
    <row r="930" spans="3:43" ht="15.75" customHeight="1" x14ac:dyDescent="0.2">
      <c r="C930" s="42"/>
      <c r="AP930" s="41"/>
      <c r="AQ930" s="41"/>
    </row>
    <row r="931" spans="3:43" ht="15.75" customHeight="1" x14ac:dyDescent="0.2">
      <c r="C931" s="42"/>
      <c r="AP931" s="41"/>
      <c r="AQ931" s="41"/>
    </row>
    <row r="932" spans="3:43" ht="15.75" customHeight="1" x14ac:dyDescent="0.2">
      <c r="C932" s="42"/>
      <c r="AP932" s="41"/>
      <c r="AQ932" s="41"/>
    </row>
    <row r="933" spans="3:43" ht="15.75" customHeight="1" x14ac:dyDescent="0.2">
      <c r="C933" s="42"/>
      <c r="AP933" s="41"/>
      <c r="AQ933" s="41"/>
    </row>
    <row r="934" spans="3:43" ht="15.75" customHeight="1" x14ac:dyDescent="0.2">
      <c r="C934" s="42"/>
      <c r="AP934" s="41"/>
      <c r="AQ934" s="41"/>
    </row>
    <row r="935" spans="3:43" ht="15.75" customHeight="1" x14ac:dyDescent="0.2">
      <c r="C935" s="42"/>
      <c r="AP935" s="41"/>
      <c r="AQ935" s="41"/>
    </row>
    <row r="936" spans="3:43" ht="15.75" customHeight="1" x14ac:dyDescent="0.2">
      <c r="C936" s="42"/>
      <c r="AP936" s="41"/>
      <c r="AQ936" s="41"/>
    </row>
    <row r="937" spans="3:43" ht="15.75" customHeight="1" x14ac:dyDescent="0.2">
      <c r="C937" s="42"/>
      <c r="AP937" s="41"/>
      <c r="AQ937" s="41"/>
    </row>
    <row r="938" spans="3:43" ht="15.75" customHeight="1" x14ac:dyDescent="0.2">
      <c r="C938" s="42"/>
      <c r="AP938" s="41"/>
      <c r="AQ938" s="41"/>
    </row>
    <row r="939" spans="3:43" ht="15.75" customHeight="1" x14ac:dyDescent="0.2">
      <c r="C939" s="42"/>
      <c r="AP939" s="41"/>
      <c r="AQ939" s="41"/>
    </row>
    <row r="940" spans="3:43" ht="15.75" customHeight="1" x14ac:dyDescent="0.2">
      <c r="C940" s="42"/>
      <c r="AP940" s="41"/>
      <c r="AQ940" s="41"/>
    </row>
    <row r="941" spans="3:43" ht="15.75" customHeight="1" x14ac:dyDescent="0.2">
      <c r="C941" s="42"/>
      <c r="AP941" s="41"/>
      <c r="AQ941" s="41"/>
    </row>
    <row r="942" spans="3:43" ht="15.75" customHeight="1" x14ac:dyDescent="0.2">
      <c r="C942" s="42"/>
      <c r="AP942" s="41"/>
      <c r="AQ942" s="41"/>
    </row>
    <row r="943" spans="3:43" ht="15.75" customHeight="1" x14ac:dyDescent="0.2">
      <c r="C943" s="42"/>
      <c r="AP943" s="41"/>
      <c r="AQ943" s="41"/>
    </row>
    <row r="944" spans="3:43" ht="15.75" customHeight="1" x14ac:dyDescent="0.2">
      <c r="C944" s="42"/>
      <c r="AP944" s="41"/>
      <c r="AQ944" s="41"/>
    </row>
    <row r="945" spans="3:43" ht="15.75" customHeight="1" x14ac:dyDescent="0.2">
      <c r="C945" s="42"/>
      <c r="AP945" s="41"/>
      <c r="AQ945" s="41"/>
    </row>
    <row r="946" spans="3:43" ht="15.75" customHeight="1" x14ac:dyDescent="0.2">
      <c r="C946" s="42"/>
      <c r="AP946" s="41"/>
      <c r="AQ946" s="41"/>
    </row>
    <row r="947" spans="3:43" ht="15.75" customHeight="1" x14ac:dyDescent="0.2">
      <c r="C947" s="42"/>
      <c r="AP947" s="41"/>
      <c r="AQ947" s="41"/>
    </row>
    <row r="948" spans="3:43" ht="15.75" customHeight="1" x14ac:dyDescent="0.2">
      <c r="C948" s="42"/>
      <c r="AP948" s="41"/>
      <c r="AQ948" s="41"/>
    </row>
    <row r="949" spans="3:43" ht="15.75" customHeight="1" x14ac:dyDescent="0.2">
      <c r="C949" s="42"/>
      <c r="AP949" s="41"/>
      <c r="AQ949" s="41"/>
    </row>
    <row r="950" spans="3:43" ht="15.75" customHeight="1" x14ac:dyDescent="0.2">
      <c r="C950" s="42"/>
      <c r="AP950" s="41"/>
      <c r="AQ950" s="41"/>
    </row>
    <row r="951" spans="3:43" ht="15.75" customHeight="1" x14ac:dyDescent="0.2">
      <c r="C951" s="42"/>
      <c r="AP951" s="41"/>
      <c r="AQ951" s="41"/>
    </row>
    <row r="952" spans="3:43" ht="15.75" customHeight="1" x14ac:dyDescent="0.2">
      <c r="C952" s="42"/>
      <c r="AP952" s="41"/>
      <c r="AQ952" s="41"/>
    </row>
    <row r="953" spans="3:43" ht="15.75" customHeight="1" x14ac:dyDescent="0.2">
      <c r="C953" s="42"/>
      <c r="AP953" s="41"/>
      <c r="AQ953" s="41"/>
    </row>
    <row r="954" spans="3:43" ht="15.75" customHeight="1" x14ac:dyDescent="0.2">
      <c r="C954" s="42"/>
      <c r="AP954" s="41"/>
      <c r="AQ954" s="41"/>
    </row>
    <row r="955" spans="3:43" ht="15.75" customHeight="1" x14ac:dyDescent="0.2">
      <c r="C955" s="42"/>
      <c r="AP955" s="41"/>
      <c r="AQ955" s="41"/>
    </row>
    <row r="956" spans="3:43" ht="15.75" customHeight="1" x14ac:dyDescent="0.2">
      <c r="C956" s="42"/>
      <c r="AP956" s="41"/>
      <c r="AQ956" s="41"/>
    </row>
    <row r="957" spans="3:43" ht="15.75" customHeight="1" x14ac:dyDescent="0.2">
      <c r="C957" s="42"/>
      <c r="AP957" s="41"/>
      <c r="AQ957" s="41"/>
    </row>
    <row r="958" spans="3:43" ht="15.75" customHeight="1" x14ac:dyDescent="0.2">
      <c r="C958" s="42"/>
      <c r="AP958" s="41"/>
      <c r="AQ958" s="41"/>
    </row>
    <row r="959" spans="3:43" ht="15.75" customHeight="1" x14ac:dyDescent="0.2">
      <c r="C959" s="42"/>
      <c r="AP959" s="41"/>
      <c r="AQ959" s="41"/>
    </row>
    <row r="960" spans="3:43" ht="15.75" customHeight="1" x14ac:dyDescent="0.2">
      <c r="C960" s="42"/>
      <c r="AP960" s="41"/>
      <c r="AQ960" s="41"/>
    </row>
    <row r="961" spans="3:43" ht="15.75" customHeight="1" x14ac:dyDescent="0.2">
      <c r="C961" s="42"/>
      <c r="AP961" s="41"/>
      <c r="AQ961" s="41"/>
    </row>
    <row r="962" spans="3:43" ht="15.75" customHeight="1" x14ac:dyDescent="0.2">
      <c r="C962" s="42"/>
      <c r="AP962" s="41"/>
      <c r="AQ962" s="41"/>
    </row>
    <row r="963" spans="3:43" ht="15.75" customHeight="1" x14ac:dyDescent="0.2">
      <c r="C963" s="42"/>
      <c r="AP963" s="41"/>
      <c r="AQ963" s="41"/>
    </row>
    <row r="964" spans="3:43" ht="15.75" customHeight="1" x14ac:dyDescent="0.2">
      <c r="C964" s="42"/>
      <c r="AP964" s="41"/>
      <c r="AQ964" s="41"/>
    </row>
    <row r="965" spans="3:43" ht="15.75" customHeight="1" x14ac:dyDescent="0.2">
      <c r="C965" s="42"/>
      <c r="AP965" s="41"/>
      <c r="AQ965" s="41"/>
    </row>
    <row r="966" spans="3:43" ht="15.75" customHeight="1" x14ac:dyDescent="0.2">
      <c r="C966" s="42"/>
      <c r="AP966" s="41"/>
      <c r="AQ966" s="41"/>
    </row>
    <row r="967" spans="3:43" ht="15.75" customHeight="1" x14ac:dyDescent="0.2">
      <c r="C967" s="42"/>
      <c r="AP967" s="41"/>
      <c r="AQ967" s="41"/>
    </row>
    <row r="968" spans="3:43" ht="15.75" customHeight="1" x14ac:dyDescent="0.2">
      <c r="C968" s="42"/>
      <c r="AP968" s="41"/>
      <c r="AQ968" s="41"/>
    </row>
    <row r="969" spans="3:43" ht="15.75" customHeight="1" x14ac:dyDescent="0.2">
      <c r="C969" s="42"/>
      <c r="AP969" s="41"/>
      <c r="AQ969" s="41"/>
    </row>
    <row r="970" spans="3:43" ht="15.75" customHeight="1" x14ac:dyDescent="0.2">
      <c r="C970" s="42"/>
      <c r="AP970" s="41"/>
      <c r="AQ970" s="41"/>
    </row>
    <row r="971" spans="3:43" ht="15.75" customHeight="1" x14ac:dyDescent="0.2">
      <c r="C971" s="42"/>
      <c r="AP971" s="41"/>
      <c r="AQ971" s="41"/>
    </row>
    <row r="972" spans="3:43" ht="15.75" customHeight="1" x14ac:dyDescent="0.2">
      <c r="C972" s="42"/>
      <c r="AP972" s="41"/>
      <c r="AQ972" s="41"/>
    </row>
    <row r="973" spans="3:43" ht="15.75" customHeight="1" x14ac:dyDescent="0.2">
      <c r="C973" s="42"/>
      <c r="AP973" s="41"/>
      <c r="AQ973" s="41"/>
    </row>
    <row r="974" spans="3:43" ht="15.75" customHeight="1" x14ac:dyDescent="0.2">
      <c r="C974" s="42"/>
      <c r="AP974" s="41"/>
      <c r="AQ974" s="41"/>
    </row>
    <row r="975" spans="3:43" ht="15.75" customHeight="1" x14ac:dyDescent="0.2">
      <c r="C975" s="42"/>
      <c r="AP975" s="41"/>
      <c r="AQ975" s="41"/>
    </row>
    <row r="976" spans="3:43" ht="15.75" customHeight="1" x14ac:dyDescent="0.2">
      <c r="C976" s="42"/>
      <c r="AP976" s="41"/>
      <c r="AQ976" s="41"/>
    </row>
    <row r="977" spans="3:43" ht="15.75" customHeight="1" x14ac:dyDescent="0.2">
      <c r="C977" s="42"/>
      <c r="AP977" s="41"/>
      <c r="AQ977" s="41"/>
    </row>
    <row r="978" spans="3:43" ht="15.75" customHeight="1" x14ac:dyDescent="0.2">
      <c r="C978" s="42"/>
      <c r="AP978" s="41"/>
      <c r="AQ978" s="41"/>
    </row>
    <row r="979" spans="3:43" ht="15.75" customHeight="1" x14ac:dyDescent="0.2">
      <c r="C979" s="42"/>
      <c r="AP979" s="41"/>
      <c r="AQ979" s="41"/>
    </row>
    <row r="980" spans="3:43" ht="15.75" customHeight="1" x14ac:dyDescent="0.2">
      <c r="C980" s="42"/>
      <c r="AP980" s="41"/>
      <c r="AQ980" s="41"/>
    </row>
    <row r="981" spans="3:43" ht="15.75" customHeight="1" x14ac:dyDescent="0.2">
      <c r="C981" s="42"/>
      <c r="AP981" s="41"/>
      <c r="AQ981" s="41"/>
    </row>
    <row r="982" spans="3:43" ht="15.75" customHeight="1" x14ac:dyDescent="0.2">
      <c r="C982" s="42"/>
      <c r="AP982" s="41"/>
      <c r="AQ982" s="41"/>
    </row>
    <row r="983" spans="3:43" ht="15.75" customHeight="1" x14ac:dyDescent="0.2">
      <c r="C983" s="42"/>
      <c r="AP983" s="41"/>
      <c r="AQ983" s="41"/>
    </row>
    <row r="984" spans="3:43" ht="15.75" customHeight="1" x14ac:dyDescent="0.2">
      <c r="C984" s="42"/>
      <c r="AP984" s="41"/>
      <c r="AQ984" s="41"/>
    </row>
    <row r="985" spans="3:43" ht="15.75" customHeight="1" x14ac:dyDescent="0.2">
      <c r="C985" s="42"/>
      <c r="AP985" s="41"/>
      <c r="AQ985" s="41"/>
    </row>
    <row r="986" spans="3:43" ht="15.75" customHeight="1" x14ac:dyDescent="0.2">
      <c r="C986" s="42"/>
      <c r="AP986" s="41"/>
      <c r="AQ986" s="41"/>
    </row>
    <row r="987" spans="3:43" ht="15.75" customHeight="1" x14ac:dyDescent="0.2">
      <c r="C987" s="42"/>
      <c r="AP987" s="41"/>
      <c r="AQ987" s="41"/>
    </row>
    <row r="988" spans="3:43" ht="15.75" customHeight="1" x14ac:dyDescent="0.2">
      <c r="C988" s="42"/>
      <c r="AP988" s="41"/>
      <c r="AQ988" s="41"/>
    </row>
    <row r="989" spans="3:43" ht="15.75" customHeight="1" x14ac:dyDescent="0.2">
      <c r="C989" s="42"/>
      <c r="AP989" s="41"/>
      <c r="AQ989" s="41"/>
    </row>
    <row r="990" spans="3:43" ht="15.75" customHeight="1" x14ac:dyDescent="0.2">
      <c r="C990" s="42"/>
      <c r="AP990" s="41"/>
      <c r="AQ990" s="41"/>
    </row>
    <row r="991" spans="3:43" ht="15.75" customHeight="1" x14ac:dyDescent="0.2">
      <c r="C991" s="42"/>
      <c r="AP991" s="41"/>
      <c r="AQ991" s="41"/>
    </row>
    <row r="992" spans="3:43" ht="15.75" customHeight="1" x14ac:dyDescent="0.2">
      <c r="C992" s="42"/>
      <c r="AP992" s="41"/>
      <c r="AQ992" s="41"/>
    </row>
    <row r="993" spans="3:43" ht="15.75" customHeight="1" x14ac:dyDescent="0.2">
      <c r="C993" s="42"/>
      <c r="AP993" s="41"/>
      <c r="AQ993" s="41"/>
    </row>
    <row r="994" spans="3:43" ht="15.75" customHeight="1" x14ac:dyDescent="0.2">
      <c r="C994" s="42"/>
      <c r="AP994" s="41"/>
      <c r="AQ994" s="41"/>
    </row>
    <row r="995" spans="3:43" ht="15.75" customHeight="1" x14ac:dyDescent="0.2">
      <c r="C995" s="42"/>
      <c r="AP995" s="41"/>
      <c r="AQ995" s="41"/>
    </row>
    <row r="996" spans="3:43" ht="15.75" customHeight="1" x14ac:dyDescent="0.2">
      <c r="C996" s="42"/>
      <c r="AP996" s="41"/>
      <c r="AQ996" s="41"/>
    </row>
    <row r="997" spans="3:43" ht="15.75" customHeight="1" x14ac:dyDescent="0.2">
      <c r="C997" s="42"/>
      <c r="AP997" s="41"/>
      <c r="AQ997" s="41"/>
    </row>
    <row r="998" spans="3:43" ht="15.75" customHeight="1" x14ac:dyDescent="0.2">
      <c r="C998" s="42"/>
      <c r="AP998" s="41"/>
      <c r="AQ998" s="41"/>
    </row>
    <row r="999" spans="3:43" ht="15.75" customHeight="1" x14ac:dyDescent="0.2">
      <c r="C999" s="42"/>
      <c r="AP999" s="41"/>
      <c r="AQ999" s="41"/>
    </row>
    <row r="1000" spans="3:43" ht="15.75" customHeight="1" x14ac:dyDescent="0.2">
      <c r="C1000" s="42"/>
      <c r="AP1000" s="41"/>
      <c r="AQ1000" s="4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Weight(g)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Singh, Tajinder</cp:lastModifiedBy>
  <dcterms:created xsi:type="dcterms:W3CDTF">2023-03-18T16:23:26Z</dcterms:created>
  <dcterms:modified xsi:type="dcterms:W3CDTF">2025-08-28T03:07:26Z</dcterms:modified>
</cp:coreProperties>
</file>