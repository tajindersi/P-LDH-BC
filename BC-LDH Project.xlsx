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j/Library/CloudStorage/GoogleDrive-tajindersi227@gmail.com/My Drive/Research/TJ - LDH Project/"/>
    </mc:Choice>
  </mc:AlternateContent>
  <xr:revisionPtr revIDLastSave="0" documentId="13_ncr:1_{BF6B68B9-A3F4-3143-A193-C388E78C6027}" xr6:coauthVersionLast="47" xr6:coauthVersionMax="47" xr10:uidLastSave="{00000000-0000-0000-0000-000000000000}"/>
  <bookViews>
    <workbookView xWindow="2380" yWindow="9180" windowWidth="28800" windowHeight="16240" xr2:uid="{00000000-000D-0000-FFFF-FFFF00000000}"/>
  </bookViews>
  <sheets>
    <sheet name="ICP-MS_BC-Filtrate" sheetId="1" r:id="rId1"/>
    <sheet name="PZC-Study" sheetId="2" r:id="rId2"/>
    <sheet name="Leaching-pH " sheetId="3" r:id="rId3"/>
    <sheet name="Ash content" sheetId="4" r:id="rId4"/>
    <sheet name="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ngXUCE8/hyPwvmNfUPEw4LAiQAv6Ze21wLgMUJu9w4="/>
    </ext>
  </extLst>
</workbook>
</file>

<file path=xl/calcChain.xml><?xml version="1.0" encoding="utf-8"?>
<calcChain xmlns="http://schemas.openxmlformats.org/spreadsheetml/2006/main">
  <c r="C13" i="5" l="1"/>
  <c r="D11" i="5"/>
  <c r="C11" i="5"/>
  <c r="E11" i="5" s="1"/>
  <c r="D10" i="5"/>
  <c r="C10" i="5"/>
  <c r="E10" i="5" s="1"/>
  <c r="D9" i="5"/>
  <c r="C9" i="5"/>
  <c r="E9" i="5" s="1"/>
  <c r="M29" i="4"/>
  <c r="N29" i="4" s="1"/>
  <c r="H29" i="4"/>
  <c r="I29" i="4" s="1"/>
  <c r="D29" i="4"/>
  <c r="C29" i="4"/>
  <c r="M28" i="4"/>
  <c r="N28" i="4" s="1"/>
  <c r="H28" i="4"/>
  <c r="I28" i="4" s="1"/>
  <c r="C28" i="4"/>
  <c r="D28" i="4" s="1"/>
  <c r="M27" i="4"/>
  <c r="N27" i="4" s="1"/>
  <c r="O27" i="4" s="1"/>
  <c r="P27" i="4" s="1"/>
  <c r="H27" i="4"/>
  <c r="I27" i="4" s="1"/>
  <c r="C27" i="4"/>
  <c r="D27" i="4" s="1"/>
  <c r="E9" i="4"/>
  <c r="E8" i="4"/>
  <c r="G8" i="4" s="1"/>
  <c r="E7" i="4"/>
  <c r="G6" i="4" s="1"/>
  <c r="F6" i="4"/>
  <c r="E6" i="4"/>
  <c r="E5" i="4"/>
  <c r="E4" i="4"/>
  <c r="G4" i="4" s="1"/>
  <c r="O73" i="3"/>
  <c r="N73" i="3"/>
  <c r="J73" i="3"/>
  <c r="I73" i="3"/>
  <c r="D73" i="3"/>
  <c r="E73" i="3" s="1"/>
  <c r="Q72" i="3"/>
  <c r="P72" i="3"/>
  <c r="O72" i="3"/>
  <c r="N72" i="3"/>
  <c r="I72" i="3"/>
  <c r="J72" i="3" s="1"/>
  <c r="E72" i="3"/>
  <c r="D72" i="3"/>
  <c r="O71" i="3"/>
  <c r="N71" i="3"/>
  <c r="I71" i="3"/>
  <c r="J71" i="3" s="1"/>
  <c r="E71" i="3"/>
  <c r="D71" i="3"/>
  <c r="O70" i="3"/>
  <c r="P70" i="3" s="1"/>
  <c r="N70" i="3"/>
  <c r="J70" i="3"/>
  <c r="L70" i="3" s="1"/>
  <c r="I70" i="3"/>
  <c r="E70" i="3"/>
  <c r="F70" i="3" s="1"/>
  <c r="D70" i="3"/>
  <c r="N69" i="3"/>
  <c r="O69" i="3" s="1"/>
  <c r="J69" i="3"/>
  <c r="K68" i="3" s="1"/>
  <c r="I69" i="3"/>
  <c r="E69" i="3"/>
  <c r="D69" i="3"/>
  <c r="N68" i="3"/>
  <c r="O68" i="3" s="1"/>
  <c r="L68" i="3"/>
  <c r="J68" i="3"/>
  <c r="I68" i="3"/>
  <c r="D68" i="3"/>
  <c r="E68" i="3" s="1"/>
  <c r="O67" i="3"/>
  <c r="N67" i="3"/>
  <c r="J67" i="3"/>
  <c r="I67" i="3"/>
  <c r="E67" i="3"/>
  <c r="D67" i="3"/>
  <c r="O66" i="3"/>
  <c r="Q66" i="3" s="1"/>
  <c r="N66" i="3"/>
  <c r="J66" i="3"/>
  <c r="K66" i="3" s="1"/>
  <c r="I66" i="3"/>
  <c r="E66" i="3"/>
  <c r="G66" i="3" s="1"/>
  <c r="D66" i="3"/>
  <c r="O65" i="3"/>
  <c r="N65" i="3"/>
  <c r="J65" i="3"/>
  <c r="I65" i="3"/>
  <c r="D65" i="3"/>
  <c r="E65" i="3" s="1"/>
  <c r="Q64" i="3"/>
  <c r="P64" i="3"/>
  <c r="O64" i="3"/>
  <c r="N64" i="3"/>
  <c r="I64" i="3"/>
  <c r="J64" i="3" s="1"/>
  <c r="E64" i="3"/>
  <c r="D64" i="3"/>
  <c r="O63" i="3"/>
  <c r="P62" i="3" s="1"/>
  <c r="N63" i="3"/>
  <c r="I63" i="3"/>
  <c r="J63" i="3" s="1"/>
  <c r="E63" i="3"/>
  <c r="D63" i="3"/>
  <c r="O62" i="3"/>
  <c r="N62" i="3"/>
  <c r="J62" i="3"/>
  <c r="I62" i="3"/>
  <c r="E62" i="3"/>
  <c r="F62" i="3" s="1"/>
  <c r="D62" i="3"/>
  <c r="N61" i="3"/>
  <c r="O61" i="3" s="1"/>
  <c r="J61" i="3"/>
  <c r="K60" i="3" s="1"/>
  <c r="I61" i="3"/>
  <c r="E61" i="3"/>
  <c r="D61" i="3"/>
  <c r="N60" i="3"/>
  <c r="O60" i="3" s="1"/>
  <c r="L60" i="3"/>
  <c r="J60" i="3"/>
  <c r="I60" i="3"/>
  <c r="D60" i="3"/>
  <c r="E60" i="3" s="1"/>
  <c r="O53" i="3"/>
  <c r="Q52" i="3" s="1"/>
  <c r="N53" i="3"/>
  <c r="J53" i="3"/>
  <c r="I53" i="3"/>
  <c r="E53" i="3"/>
  <c r="D53" i="3"/>
  <c r="O52" i="3"/>
  <c r="N52" i="3"/>
  <c r="J52" i="3"/>
  <c r="K52" i="3" s="1"/>
  <c r="I52" i="3"/>
  <c r="G52" i="3"/>
  <c r="F52" i="3"/>
  <c r="E52" i="3"/>
  <c r="D52" i="3"/>
  <c r="O51" i="3"/>
  <c r="N51" i="3"/>
  <c r="J51" i="3"/>
  <c r="I51" i="3"/>
  <c r="E51" i="3"/>
  <c r="F50" i="3" s="1"/>
  <c r="D51" i="3"/>
  <c r="Q50" i="3"/>
  <c r="P50" i="3"/>
  <c r="O50" i="3"/>
  <c r="N50" i="3"/>
  <c r="J50" i="3"/>
  <c r="L50" i="3" s="1"/>
  <c r="I50" i="3"/>
  <c r="G50" i="3"/>
  <c r="E50" i="3"/>
  <c r="D50" i="3"/>
  <c r="O49" i="3"/>
  <c r="N49" i="3"/>
  <c r="J49" i="3"/>
  <c r="I49" i="3"/>
  <c r="E49" i="3"/>
  <c r="D49" i="3"/>
  <c r="O48" i="3"/>
  <c r="P48" i="3" s="1"/>
  <c r="N48" i="3"/>
  <c r="J48" i="3"/>
  <c r="I48" i="3"/>
  <c r="E48" i="3"/>
  <c r="F48" i="3" s="1"/>
  <c r="D48" i="3"/>
  <c r="O47" i="3"/>
  <c r="N47" i="3"/>
  <c r="J47" i="3"/>
  <c r="K46" i="3" s="1"/>
  <c r="I47" i="3"/>
  <c r="E47" i="3"/>
  <c r="D47" i="3"/>
  <c r="O46" i="3"/>
  <c r="Q46" i="3" s="1"/>
  <c r="N46" i="3"/>
  <c r="L46" i="3"/>
  <c r="J46" i="3"/>
  <c r="I46" i="3"/>
  <c r="E46" i="3"/>
  <c r="G46" i="3" s="1"/>
  <c r="D46" i="3"/>
  <c r="O45" i="3"/>
  <c r="N45" i="3"/>
  <c r="J45" i="3"/>
  <c r="I45" i="3"/>
  <c r="E45" i="3"/>
  <c r="D45" i="3"/>
  <c r="O44" i="3"/>
  <c r="N44" i="3"/>
  <c r="J44" i="3"/>
  <c r="K44" i="3" s="1"/>
  <c r="I44" i="3"/>
  <c r="E44" i="3"/>
  <c r="D44" i="3"/>
  <c r="O43" i="3"/>
  <c r="N43" i="3"/>
  <c r="J43" i="3"/>
  <c r="I43" i="3"/>
  <c r="E43" i="3"/>
  <c r="F42" i="3" s="1"/>
  <c r="D43" i="3"/>
  <c r="Q42" i="3"/>
  <c r="P42" i="3"/>
  <c r="O42" i="3"/>
  <c r="N42" i="3"/>
  <c r="J42" i="3"/>
  <c r="L42" i="3" s="1"/>
  <c r="I42" i="3"/>
  <c r="G42" i="3"/>
  <c r="E42" i="3"/>
  <c r="D42" i="3"/>
  <c r="O41" i="3"/>
  <c r="P40" i="3" s="1"/>
  <c r="N41" i="3"/>
  <c r="J41" i="3"/>
  <c r="I41" i="3"/>
  <c r="E41" i="3"/>
  <c r="D41" i="3"/>
  <c r="O40" i="3"/>
  <c r="N40" i="3"/>
  <c r="J40" i="3"/>
  <c r="I40" i="3"/>
  <c r="E40" i="3"/>
  <c r="F40" i="3" s="1"/>
  <c r="D40" i="3"/>
  <c r="O32" i="3"/>
  <c r="Q31" i="3" s="1"/>
  <c r="N32" i="3"/>
  <c r="J32" i="3"/>
  <c r="K31" i="3" s="1"/>
  <c r="I32" i="3"/>
  <c r="E32" i="3"/>
  <c r="D32" i="3"/>
  <c r="O31" i="3"/>
  <c r="N31" i="3"/>
  <c r="J31" i="3"/>
  <c r="I31" i="3"/>
  <c r="E31" i="3"/>
  <c r="G31" i="3" s="1"/>
  <c r="D31" i="3"/>
  <c r="O30" i="3"/>
  <c r="N30" i="3"/>
  <c r="J30" i="3"/>
  <c r="I30" i="3"/>
  <c r="E30" i="3"/>
  <c r="D30" i="3"/>
  <c r="O29" i="3"/>
  <c r="N29" i="3"/>
  <c r="J29" i="3"/>
  <c r="K29" i="3" s="1"/>
  <c r="I29" i="3"/>
  <c r="E29" i="3"/>
  <c r="D29" i="3"/>
  <c r="O28" i="3"/>
  <c r="N28" i="3"/>
  <c r="J28" i="3"/>
  <c r="I28" i="3"/>
  <c r="E28" i="3"/>
  <c r="F27" i="3" s="1"/>
  <c r="D28" i="3"/>
  <c r="Q27" i="3"/>
  <c r="P27" i="3"/>
  <c r="O27" i="3"/>
  <c r="N27" i="3"/>
  <c r="J27" i="3"/>
  <c r="L27" i="3" s="1"/>
  <c r="I27" i="3"/>
  <c r="G27" i="3"/>
  <c r="E27" i="3"/>
  <c r="D27" i="3"/>
  <c r="O26" i="3"/>
  <c r="P25" i="3" s="1"/>
  <c r="N26" i="3"/>
  <c r="J26" i="3"/>
  <c r="I26" i="3"/>
  <c r="E26" i="3"/>
  <c r="D26" i="3"/>
  <c r="O25" i="3"/>
  <c r="N25" i="3"/>
  <c r="J25" i="3"/>
  <c r="I25" i="3"/>
  <c r="E25" i="3"/>
  <c r="F25" i="3" s="1"/>
  <c r="D25" i="3"/>
  <c r="O24" i="3"/>
  <c r="Q23" i="3" s="1"/>
  <c r="N24" i="3"/>
  <c r="J24" i="3"/>
  <c r="K23" i="3" s="1"/>
  <c r="I24" i="3"/>
  <c r="E24" i="3"/>
  <c r="D24" i="3"/>
  <c r="O23" i="3"/>
  <c r="N23" i="3"/>
  <c r="L23" i="3"/>
  <c r="J23" i="3"/>
  <c r="I23" i="3"/>
  <c r="E23" i="3"/>
  <c r="G23" i="3" s="1"/>
  <c r="D23" i="3"/>
  <c r="O22" i="3"/>
  <c r="N22" i="3"/>
  <c r="J22" i="3"/>
  <c r="I22" i="3"/>
  <c r="E22" i="3"/>
  <c r="D22" i="3"/>
  <c r="O21" i="3"/>
  <c r="N21" i="3"/>
  <c r="J21" i="3"/>
  <c r="K21" i="3" s="1"/>
  <c r="I21" i="3"/>
  <c r="E21" i="3"/>
  <c r="D21" i="3"/>
  <c r="O20" i="3"/>
  <c r="N20" i="3"/>
  <c r="J20" i="3"/>
  <c r="I20" i="3"/>
  <c r="E20" i="3"/>
  <c r="F19" i="3" s="1"/>
  <c r="D20" i="3"/>
  <c r="Q19" i="3"/>
  <c r="P19" i="3"/>
  <c r="O19" i="3"/>
  <c r="N19" i="3"/>
  <c r="J19" i="3"/>
  <c r="L19" i="3" s="1"/>
  <c r="I19" i="3"/>
  <c r="G19" i="3"/>
  <c r="E19" i="3"/>
  <c r="D19" i="3"/>
  <c r="O38" i="2"/>
  <c r="L38" i="2"/>
  <c r="Q38" i="2" s="1"/>
  <c r="I38" i="2"/>
  <c r="H38" i="2"/>
  <c r="G38" i="2"/>
  <c r="D38" i="2"/>
  <c r="O37" i="2"/>
  <c r="L37" i="2"/>
  <c r="Q37" i="2" s="1"/>
  <c r="I37" i="2"/>
  <c r="H37" i="2"/>
  <c r="G37" i="2"/>
  <c r="D37" i="2"/>
  <c r="O36" i="2"/>
  <c r="L36" i="2"/>
  <c r="Q36" i="2" s="1"/>
  <c r="I36" i="2"/>
  <c r="H36" i="2"/>
  <c r="G36" i="2"/>
  <c r="D36" i="2"/>
  <c r="O35" i="2"/>
  <c r="L35" i="2"/>
  <c r="Q35" i="2" s="1"/>
  <c r="I35" i="2"/>
  <c r="H35" i="2"/>
  <c r="G35" i="2"/>
  <c r="D35" i="2"/>
  <c r="O34" i="2"/>
  <c r="L34" i="2"/>
  <c r="Q34" i="2" s="1"/>
  <c r="I34" i="2"/>
  <c r="H34" i="2"/>
  <c r="G34" i="2"/>
  <c r="D34" i="2"/>
  <c r="O33" i="2"/>
  <c r="L33" i="2"/>
  <c r="Q33" i="2" s="1"/>
  <c r="I33" i="2"/>
  <c r="H33" i="2"/>
  <c r="G33" i="2"/>
  <c r="D33" i="2"/>
  <c r="O32" i="2"/>
  <c r="L32" i="2"/>
  <c r="Q32" i="2" s="1"/>
  <c r="I32" i="2"/>
  <c r="H32" i="2"/>
  <c r="G32" i="2"/>
  <c r="D32" i="2"/>
  <c r="O25" i="2"/>
  <c r="L25" i="2"/>
  <c r="Q25" i="2" s="1"/>
  <c r="I25" i="2"/>
  <c r="H25" i="2"/>
  <c r="G25" i="2"/>
  <c r="D25" i="2"/>
  <c r="O24" i="2"/>
  <c r="L24" i="2"/>
  <c r="Q24" i="2" s="1"/>
  <c r="I24" i="2"/>
  <c r="H24" i="2"/>
  <c r="G24" i="2"/>
  <c r="D24" i="2"/>
  <c r="O23" i="2"/>
  <c r="L23" i="2"/>
  <c r="Q23" i="2" s="1"/>
  <c r="I23" i="2"/>
  <c r="H23" i="2"/>
  <c r="G23" i="2"/>
  <c r="D23" i="2"/>
  <c r="O22" i="2"/>
  <c r="L22" i="2"/>
  <c r="Q22" i="2" s="1"/>
  <c r="I22" i="2"/>
  <c r="H22" i="2"/>
  <c r="G22" i="2"/>
  <c r="D22" i="2"/>
  <c r="O21" i="2"/>
  <c r="L21" i="2"/>
  <c r="Q21" i="2" s="1"/>
  <c r="I21" i="2"/>
  <c r="H21" i="2"/>
  <c r="G21" i="2"/>
  <c r="D21" i="2"/>
  <c r="O20" i="2"/>
  <c r="L20" i="2"/>
  <c r="Q20" i="2" s="1"/>
  <c r="I20" i="2"/>
  <c r="H20" i="2"/>
  <c r="G20" i="2"/>
  <c r="D20" i="2"/>
  <c r="O19" i="2"/>
  <c r="L19" i="2"/>
  <c r="Q19" i="2" s="1"/>
  <c r="I19" i="2"/>
  <c r="H19" i="2"/>
  <c r="G19" i="2"/>
  <c r="D19" i="2"/>
  <c r="O12" i="2"/>
  <c r="L12" i="2"/>
  <c r="Q12" i="2" s="1"/>
  <c r="I12" i="2"/>
  <c r="H12" i="2"/>
  <c r="G12" i="2"/>
  <c r="D12" i="2"/>
  <c r="O11" i="2"/>
  <c r="L11" i="2"/>
  <c r="Q11" i="2" s="1"/>
  <c r="I11" i="2"/>
  <c r="H11" i="2"/>
  <c r="G11" i="2"/>
  <c r="D11" i="2"/>
  <c r="O10" i="2"/>
  <c r="L10" i="2"/>
  <c r="Q10" i="2" s="1"/>
  <c r="I10" i="2"/>
  <c r="H10" i="2"/>
  <c r="G10" i="2"/>
  <c r="D10" i="2"/>
  <c r="O9" i="2"/>
  <c r="L9" i="2"/>
  <c r="Q9" i="2" s="1"/>
  <c r="I9" i="2"/>
  <c r="H9" i="2"/>
  <c r="G9" i="2"/>
  <c r="D9" i="2"/>
  <c r="O8" i="2"/>
  <c r="L8" i="2"/>
  <c r="Q8" i="2" s="1"/>
  <c r="I8" i="2"/>
  <c r="H8" i="2"/>
  <c r="G8" i="2"/>
  <c r="D8" i="2"/>
  <c r="O7" i="2"/>
  <c r="L7" i="2"/>
  <c r="Q7" i="2" s="1"/>
  <c r="I7" i="2"/>
  <c r="H7" i="2"/>
  <c r="G7" i="2"/>
  <c r="D7" i="2"/>
  <c r="O6" i="2"/>
  <c r="L6" i="2"/>
  <c r="Q6" i="2" s="1"/>
  <c r="I6" i="2"/>
  <c r="H6" i="2"/>
  <c r="G6" i="2"/>
  <c r="D6" i="2"/>
  <c r="N53" i="1"/>
  <c r="H53" i="1"/>
  <c r="K53" i="1" s="1"/>
  <c r="P53" i="1" s="1"/>
  <c r="G53" i="1"/>
  <c r="J53" i="1" s="1"/>
  <c r="O53" i="1" s="1"/>
  <c r="F53" i="1"/>
  <c r="I53" i="1" s="1"/>
  <c r="K51" i="1"/>
  <c r="P51" i="1" s="1"/>
  <c r="J51" i="1"/>
  <c r="O51" i="1" s="1"/>
  <c r="H51" i="1"/>
  <c r="G51" i="1"/>
  <c r="F51" i="1"/>
  <c r="I51" i="1" s="1"/>
  <c r="P50" i="1"/>
  <c r="J50" i="1"/>
  <c r="O50" i="1" s="1"/>
  <c r="I50" i="1"/>
  <c r="H50" i="1"/>
  <c r="K50" i="1" s="1"/>
  <c r="G50" i="1"/>
  <c r="F50" i="1"/>
  <c r="H48" i="1"/>
  <c r="K48" i="1" s="1"/>
  <c r="P48" i="1" s="1"/>
  <c r="G48" i="1"/>
  <c r="J48" i="1" s="1"/>
  <c r="O48" i="1" s="1"/>
  <c r="F48" i="1"/>
  <c r="I48" i="1" s="1"/>
  <c r="M48" i="1" s="1"/>
  <c r="K47" i="1"/>
  <c r="P47" i="1" s="1"/>
  <c r="J47" i="1"/>
  <c r="I47" i="1"/>
  <c r="N47" i="1" s="1"/>
  <c r="H47" i="1"/>
  <c r="G47" i="1"/>
  <c r="F47" i="1"/>
  <c r="O46" i="1"/>
  <c r="H46" i="1"/>
  <c r="K46" i="1" s="1"/>
  <c r="P46" i="1" s="1"/>
  <c r="G46" i="1"/>
  <c r="J46" i="1" s="1"/>
  <c r="F46" i="1"/>
  <c r="I46" i="1" s="1"/>
  <c r="K45" i="1"/>
  <c r="P45" i="1" s="1"/>
  <c r="H45" i="1"/>
  <c r="G45" i="1"/>
  <c r="J45" i="1" s="1"/>
  <c r="O45" i="1" s="1"/>
  <c r="F45" i="1"/>
  <c r="I45" i="1" s="1"/>
  <c r="J44" i="1"/>
  <c r="O44" i="1" s="1"/>
  <c r="I44" i="1"/>
  <c r="H44" i="1"/>
  <c r="K44" i="1" s="1"/>
  <c r="P44" i="1" s="1"/>
  <c r="G44" i="1"/>
  <c r="F44" i="1"/>
  <c r="N42" i="1"/>
  <c r="H42" i="1"/>
  <c r="K42" i="1" s="1"/>
  <c r="P42" i="1" s="1"/>
  <c r="G42" i="1"/>
  <c r="J42" i="1" s="1"/>
  <c r="O42" i="1" s="1"/>
  <c r="F42" i="1"/>
  <c r="I42" i="1" s="1"/>
  <c r="L42" i="1" s="1"/>
  <c r="K41" i="1"/>
  <c r="P41" i="1" s="1"/>
  <c r="J41" i="1"/>
  <c r="O41" i="1" s="1"/>
  <c r="H41" i="1"/>
  <c r="G41" i="1"/>
  <c r="F41" i="1"/>
  <c r="I41" i="1" s="1"/>
  <c r="I40" i="1"/>
  <c r="H40" i="1"/>
  <c r="K40" i="1" s="1"/>
  <c r="P40" i="1" s="1"/>
  <c r="G40" i="1"/>
  <c r="J40" i="1" s="1"/>
  <c r="O40" i="1" s="1"/>
  <c r="F40" i="1"/>
  <c r="H39" i="1"/>
  <c r="K39" i="1" s="1"/>
  <c r="P39" i="1" s="1"/>
  <c r="G39" i="1"/>
  <c r="J39" i="1" s="1"/>
  <c r="O39" i="1" s="1"/>
  <c r="F39" i="1"/>
  <c r="I39" i="1" s="1"/>
  <c r="N39" i="1" s="1"/>
  <c r="K38" i="1"/>
  <c r="P38" i="1" s="1"/>
  <c r="J38" i="1"/>
  <c r="O38" i="1" s="1"/>
  <c r="I38" i="1"/>
  <c r="H38" i="1"/>
  <c r="G38" i="1"/>
  <c r="F38" i="1"/>
  <c r="O37" i="1"/>
  <c r="N37" i="1"/>
  <c r="H37" i="1"/>
  <c r="K37" i="1" s="1"/>
  <c r="P37" i="1" s="1"/>
  <c r="G37" i="1"/>
  <c r="J37" i="1" s="1"/>
  <c r="F37" i="1"/>
  <c r="I37" i="1" s="1"/>
  <c r="K36" i="1"/>
  <c r="P36" i="1" s="1"/>
  <c r="H36" i="1"/>
  <c r="G36" i="1"/>
  <c r="J36" i="1" s="1"/>
  <c r="O36" i="1" s="1"/>
  <c r="F36" i="1"/>
  <c r="I36" i="1" s="1"/>
  <c r="J35" i="1"/>
  <c r="O35" i="1" s="1"/>
  <c r="I35" i="1"/>
  <c r="H35" i="1"/>
  <c r="K35" i="1" s="1"/>
  <c r="P35" i="1" s="1"/>
  <c r="G35" i="1"/>
  <c r="F35" i="1"/>
  <c r="N33" i="1"/>
  <c r="M33" i="1"/>
  <c r="H33" i="1"/>
  <c r="K33" i="1" s="1"/>
  <c r="P33" i="1" s="1"/>
  <c r="G33" i="1"/>
  <c r="J33" i="1" s="1"/>
  <c r="O33" i="1" s="1"/>
  <c r="F33" i="1"/>
  <c r="I33" i="1" s="1"/>
  <c r="L33" i="1" s="1"/>
  <c r="K32" i="1"/>
  <c r="P32" i="1" s="1"/>
  <c r="J32" i="1"/>
  <c r="O32" i="1" s="1"/>
  <c r="H32" i="1"/>
  <c r="G32" i="1"/>
  <c r="F32" i="1"/>
  <c r="I32" i="1" s="1"/>
  <c r="I31" i="1"/>
  <c r="H31" i="1"/>
  <c r="K31" i="1" s="1"/>
  <c r="P31" i="1" s="1"/>
  <c r="G31" i="1"/>
  <c r="J31" i="1" s="1"/>
  <c r="O31" i="1" s="1"/>
  <c r="F31" i="1"/>
  <c r="H30" i="1"/>
  <c r="K30" i="1" s="1"/>
  <c r="P30" i="1" s="1"/>
  <c r="G30" i="1"/>
  <c r="J30" i="1" s="1"/>
  <c r="O30" i="1" s="1"/>
  <c r="F30" i="1"/>
  <c r="I30" i="1" s="1"/>
  <c r="N30" i="1" s="1"/>
  <c r="R30" i="1" l="1"/>
  <c r="Q30" i="1"/>
  <c r="L40" i="3"/>
  <c r="K40" i="3"/>
  <c r="J27" i="4"/>
  <c r="K27" i="4" s="1"/>
  <c r="Q42" i="1"/>
  <c r="R42" i="1"/>
  <c r="M31" i="1"/>
  <c r="L31" i="1"/>
  <c r="N31" i="1"/>
  <c r="N51" i="1"/>
  <c r="M51" i="1"/>
  <c r="L51" i="1"/>
  <c r="R53" i="1"/>
  <c r="Q53" i="1"/>
  <c r="G60" i="3"/>
  <c r="F60" i="3"/>
  <c r="M45" i="1"/>
  <c r="N45" i="1"/>
  <c r="R33" i="1"/>
  <c r="Q33" i="1"/>
  <c r="N36" i="1"/>
  <c r="M36" i="1"/>
  <c r="R37" i="1"/>
  <c r="Q37" i="1"/>
  <c r="Q29" i="3"/>
  <c r="P29" i="3"/>
  <c r="G44" i="3"/>
  <c r="F44" i="3"/>
  <c r="L64" i="3"/>
  <c r="K64" i="3"/>
  <c r="R39" i="1"/>
  <c r="Q39" i="1"/>
  <c r="M40" i="1"/>
  <c r="Q68" i="3"/>
  <c r="P68" i="3"/>
  <c r="G72" i="3"/>
  <c r="F72" i="3"/>
  <c r="L32" i="1"/>
  <c r="L30" i="1"/>
  <c r="N44" i="1"/>
  <c r="M44" i="1"/>
  <c r="L44" i="1"/>
  <c r="L25" i="3"/>
  <c r="K25" i="3"/>
  <c r="G21" i="3"/>
  <c r="F21" i="3"/>
  <c r="L46" i="1"/>
  <c r="N46" i="1"/>
  <c r="M46" i="1"/>
  <c r="O47" i="1"/>
  <c r="Q47" i="1" s="1"/>
  <c r="L47" i="1"/>
  <c r="Q21" i="3"/>
  <c r="P21" i="3"/>
  <c r="G29" i="3"/>
  <c r="F29" i="3"/>
  <c r="Q44" i="3"/>
  <c r="P44" i="3"/>
  <c r="L36" i="1"/>
  <c r="N32" i="1"/>
  <c r="M32" i="1"/>
  <c r="L39" i="1"/>
  <c r="Q60" i="3"/>
  <c r="P60" i="3"/>
  <c r="G64" i="3"/>
  <c r="F64" i="3"/>
  <c r="L72" i="3"/>
  <c r="K72" i="3"/>
  <c r="N48" i="1"/>
  <c r="L48" i="1"/>
  <c r="L45" i="1"/>
  <c r="L31" i="3"/>
  <c r="L48" i="3"/>
  <c r="K48" i="3"/>
  <c r="M30" i="1"/>
  <c r="N35" i="1"/>
  <c r="L35" i="1"/>
  <c r="M35" i="1"/>
  <c r="L37" i="1"/>
  <c r="M37" i="1"/>
  <c r="N38" i="1"/>
  <c r="M38" i="1"/>
  <c r="L38" i="1"/>
  <c r="L41" i="1"/>
  <c r="M41" i="1"/>
  <c r="N41" i="1"/>
  <c r="M39" i="1"/>
  <c r="M42" i="1"/>
  <c r="R47" i="1"/>
  <c r="M50" i="1"/>
  <c r="M53" i="1"/>
  <c r="L53" i="1"/>
  <c r="L62" i="3"/>
  <c r="G68" i="3"/>
  <c r="F68" i="3"/>
  <c r="E27" i="4"/>
  <c r="N40" i="1"/>
  <c r="N50" i="1"/>
  <c r="L21" i="3"/>
  <c r="G25" i="3"/>
  <c r="Q25" i="3"/>
  <c r="L29" i="3"/>
  <c r="G40" i="3"/>
  <c r="Q40" i="3"/>
  <c r="L44" i="3"/>
  <c r="G48" i="3"/>
  <c r="Q48" i="3"/>
  <c r="L52" i="3"/>
  <c r="G62" i="3"/>
  <c r="Q62" i="3"/>
  <c r="L66" i="3"/>
  <c r="G70" i="3"/>
  <c r="Q70" i="3"/>
  <c r="F4" i="4"/>
  <c r="F8" i="4"/>
  <c r="P52" i="3"/>
  <c r="K62" i="3"/>
  <c r="F66" i="3"/>
  <c r="P66" i="3"/>
  <c r="K70" i="3"/>
  <c r="M47" i="1"/>
  <c r="P6" i="2"/>
  <c r="P7" i="2"/>
  <c r="P8" i="2"/>
  <c r="P9" i="2"/>
  <c r="P10" i="2"/>
  <c r="P11" i="2"/>
  <c r="P12" i="2"/>
  <c r="P19" i="2"/>
  <c r="P20" i="2"/>
  <c r="P21" i="2"/>
  <c r="P22" i="2"/>
  <c r="P23" i="2"/>
  <c r="P24" i="2"/>
  <c r="P25" i="2"/>
  <c r="P32" i="2"/>
  <c r="P33" i="2"/>
  <c r="P34" i="2"/>
  <c r="P35" i="2"/>
  <c r="P36" i="2"/>
  <c r="P37" i="2"/>
  <c r="P38" i="2"/>
  <c r="K19" i="3"/>
  <c r="F23" i="3"/>
  <c r="P23" i="3"/>
  <c r="K27" i="3"/>
  <c r="F31" i="3"/>
  <c r="P31" i="3"/>
  <c r="K42" i="3"/>
  <c r="F46" i="3"/>
  <c r="P46" i="3"/>
  <c r="K50" i="3"/>
  <c r="L40" i="1"/>
  <c r="L50" i="1"/>
  <c r="Q41" i="1" l="1"/>
  <c r="R41" i="1"/>
  <c r="R48" i="1"/>
  <c r="Q48" i="1"/>
  <c r="Q36" i="1"/>
  <c r="R36" i="1"/>
  <c r="R35" i="1"/>
  <c r="Q35" i="1"/>
  <c r="Q32" i="1"/>
  <c r="R32" i="1"/>
  <c r="R50" i="1"/>
  <c r="Q50" i="1"/>
  <c r="Q45" i="1"/>
  <c r="R45" i="1"/>
  <c r="R51" i="1"/>
  <c r="Q51" i="1"/>
  <c r="R40" i="1"/>
  <c r="Q40" i="1"/>
  <c r="R38" i="1"/>
  <c r="Q38" i="1"/>
  <c r="Q46" i="1"/>
  <c r="R46" i="1"/>
  <c r="R31" i="1"/>
  <c r="Q31" i="1"/>
  <c r="J16" i="4"/>
  <c r="F27" i="4"/>
  <c r="R44" i="1"/>
  <c r="Q44" i="1"/>
</calcChain>
</file>

<file path=xl/sharedStrings.xml><?xml version="1.0" encoding="utf-8"?>
<sst xmlns="http://schemas.openxmlformats.org/spreadsheetml/2006/main" count="429" uniqueCount="137">
  <si>
    <t>Series-1 Standards</t>
  </si>
  <si>
    <t>Fe</t>
  </si>
  <si>
    <t>Mn</t>
  </si>
  <si>
    <t>V</t>
  </si>
  <si>
    <t>Zr</t>
  </si>
  <si>
    <t>Co</t>
  </si>
  <si>
    <t>Ti</t>
  </si>
  <si>
    <t>Mo</t>
  </si>
  <si>
    <t>Se</t>
  </si>
  <si>
    <t>B</t>
  </si>
  <si>
    <t>Si</t>
  </si>
  <si>
    <t>Al</t>
  </si>
  <si>
    <t>Cr</t>
  </si>
  <si>
    <t>P</t>
  </si>
  <si>
    <t>PPM</t>
  </si>
  <si>
    <t>Intensity mg/L</t>
  </si>
  <si>
    <t>Y= 83.9x + 2.5</t>
  </si>
  <si>
    <t>Y= 4505x - 36</t>
  </si>
  <si>
    <t>Y= 3615x + 66</t>
  </si>
  <si>
    <t>Y= 3745x - 270</t>
  </si>
  <si>
    <t>Y= 3282.5x + 45</t>
  </si>
  <si>
    <t>Y= 291.25x + 14.3</t>
  </si>
  <si>
    <t>Y= 1731.5x - 216.4</t>
  </si>
  <si>
    <t>Y= 57.375X - 6.57</t>
  </si>
  <si>
    <t>Y= 460.75x + 3.7</t>
  </si>
  <si>
    <t>Y= 2460x + 266</t>
  </si>
  <si>
    <t>Y= 40600x - 320</t>
  </si>
  <si>
    <t>Y= 2897.5x + 9</t>
  </si>
  <si>
    <t>Y= 224.5x + 10.2</t>
  </si>
  <si>
    <t>Series-2 Standards</t>
  </si>
  <si>
    <t>Li</t>
  </si>
  <si>
    <t>Na</t>
  </si>
  <si>
    <t>Mg</t>
  </si>
  <si>
    <t>K</t>
  </si>
  <si>
    <t>Ca</t>
  </si>
  <si>
    <t>Ni</t>
  </si>
  <si>
    <t>Zn</t>
  </si>
  <si>
    <t>Cd</t>
  </si>
  <si>
    <t>Pb</t>
  </si>
  <si>
    <t>Ag</t>
  </si>
  <si>
    <t>Ba</t>
  </si>
  <si>
    <t>Y= 1438x + 72.2</t>
  </si>
  <si>
    <t>4897.5x + 91</t>
  </si>
  <si>
    <t>Y= 2645x + 66</t>
  </si>
  <si>
    <t>Y= 3435x + 232</t>
  </si>
  <si>
    <t>Y= 7.7025x - 1.061</t>
  </si>
  <si>
    <t>Y=4035x - 58</t>
  </si>
  <si>
    <t>Y=70.15x + 3.66</t>
  </si>
  <si>
    <t>Y= 2927.5x - 53</t>
  </si>
  <si>
    <t>Y= 588.5x - 0.8</t>
  </si>
  <si>
    <t>Y= 358.25x + 6.1</t>
  </si>
  <si>
    <t>Y= 1005.5x - 75.6</t>
  </si>
  <si>
    <t>Y= 34750x - 2160</t>
  </si>
  <si>
    <t>Y= 2565x + 340</t>
  </si>
  <si>
    <t>Y= 16425x - 1300</t>
  </si>
  <si>
    <t>Sample data</t>
  </si>
  <si>
    <t>Elements</t>
  </si>
  <si>
    <t>Intensity-1 mg/L</t>
  </si>
  <si>
    <t>intensity-2 mg/L</t>
  </si>
  <si>
    <t>Intensity-3 mg/L</t>
  </si>
  <si>
    <t>Conc-1 mg/L</t>
  </si>
  <si>
    <t>Conc-2 mg/L</t>
  </si>
  <si>
    <t>Conc-3 mg/L</t>
  </si>
  <si>
    <t>Amount-1 µg</t>
  </si>
  <si>
    <t>Amount-2 µg</t>
  </si>
  <si>
    <t>Amount-3 µg</t>
  </si>
  <si>
    <t>Avg. amount µg</t>
  </si>
  <si>
    <t>Error µg</t>
  </si>
  <si>
    <t>Amount-1 µg/g</t>
  </si>
  <si>
    <t>Amount-2 µg/g</t>
  </si>
  <si>
    <t>Amount-3 µg/g</t>
  </si>
  <si>
    <t xml:space="preserve">Average amount µg/g </t>
  </si>
  <si>
    <t>Error µg/g</t>
  </si>
  <si>
    <t>Not detected</t>
  </si>
  <si>
    <t>Ni60</t>
  </si>
  <si>
    <t>Zn66</t>
  </si>
  <si>
    <t>Cd111</t>
  </si>
  <si>
    <t>Pb208</t>
  </si>
  <si>
    <t>Ag107</t>
  </si>
  <si>
    <t>Ba138</t>
  </si>
  <si>
    <t>Leaching Amounts</t>
  </si>
  <si>
    <t>Avg. amount (µg/g)</t>
  </si>
  <si>
    <t>Error (µg/g)</t>
  </si>
  <si>
    <t>BC-LDH-P</t>
  </si>
  <si>
    <t>Replicate-1</t>
  </si>
  <si>
    <t>Replicate-2</t>
  </si>
  <si>
    <t>Final</t>
  </si>
  <si>
    <t>Error</t>
  </si>
  <si>
    <t>pH initial</t>
  </si>
  <si>
    <t>pH Final</t>
  </si>
  <si>
    <t>△pH</t>
  </si>
  <si>
    <t>Avg. △pH</t>
  </si>
  <si>
    <t>EC initial mS/cm</t>
  </si>
  <si>
    <t>EC final mS/cm</t>
  </si>
  <si>
    <t>△EC mS/cm</t>
  </si>
  <si>
    <t>Avg. △EC mS/cm</t>
  </si>
  <si>
    <t>BC-LDH</t>
  </si>
  <si>
    <t>BC</t>
  </si>
  <si>
    <t>Standards</t>
  </si>
  <si>
    <t>Y= 13.05x</t>
  </si>
  <si>
    <t>Y= 694.59x</t>
  </si>
  <si>
    <t>Y= 42.231x</t>
  </si>
  <si>
    <t>Initial pH</t>
  </si>
  <si>
    <t>Intensity</t>
  </si>
  <si>
    <t>[P] / ppm</t>
  </si>
  <si>
    <t>Leached Amount (ug/g)</t>
  </si>
  <si>
    <t>Average Leached Amount (ug/g)</t>
  </si>
  <si>
    <t>[Mg] / ppm</t>
  </si>
  <si>
    <t>[Fe] / ppm</t>
  </si>
  <si>
    <t>Sample_ID</t>
  </si>
  <si>
    <t>Initial (mg)</t>
  </si>
  <si>
    <t>Final (mg)</t>
  </si>
  <si>
    <t>Ash %</t>
  </si>
  <si>
    <t>Avg. Final %</t>
  </si>
  <si>
    <t>Error %</t>
  </si>
  <si>
    <t>BC-1</t>
  </si>
  <si>
    <t>BC-2</t>
  </si>
  <si>
    <t>BC-LDH-1</t>
  </si>
  <si>
    <t>BC-LDH-2</t>
  </si>
  <si>
    <t>BC-LDH-P-1</t>
  </si>
  <si>
    <t>BC-LDH-P-2</t>
  </si>
  <si>
    <t>Y= 9429.1x</t>
  </si>
  <si>
    <t>Y= 252591x</t>
  </si>
  <si>
    <t>Y= 18425x</t>
  </si>
  <si>
    <t>Sample Data</t>
  </si>
  <si>
    <t>[P] ppm</t>
  </si>
  <si>
    <t>Amount (mg)</t>
  </si>
  <si>
    <t>Avg amount (mg)</t>
  </si>
  <si>
    <t>P-value</t>
  </si>
  <si>
    <t>[Fe] ppm</t>
  </si>
  <si>
    <t>Amount (mg/g)</t>
  </si>
  <si>
    <t>[Mg] ppm</t>
  </si>
  <si>
    <t>Species</t>
  </si>
  <si>
    <t xml:space="preserve"> final (g)</t>
  </si>
  <si>
    <t xml:space="preserve"> used (g)</t>
  </si>
  <si>
    <t>% Retained</t>
  </si>
  <si>
    <t>PO4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</si>
</sst>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2" fontId="1" fillId="0" borderId="7" xfId="0" applyNumberFormat="1" applyFont="1" applyBorder="1"/>
    <xf numFmtId="2" fontId="1" fillId="0" borderId="8" xfId="0" applyNumberFormat="1" applyFont="1" applyBorder="1"/>
    <xf numFmtId="2" fontId="1" fillId="0" borderId="0" xfId="0" applyNumberFormat="1" applyFont="1"/>
    <xf numFmtId="2" fontId="1" fillId="0" borderId="9" xfId="0" applyNumberFormat="1" applyFon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2" fontId="1" fillId="0" borderId="16" xfId="0" applyNumberFormat="1" applyFont="1" applyBorder="1"/>
    <xf numFmtId="2" fontId="1" fillId="0" borderId="17" xfId="0" applyNumberFormat="1" applyFont="1" applyBorder="1"/>
    <xf numFmtId="2" fontId="1" fillId="0" borderId="18" xfId="0" applyNumberFormat="1" applyFon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2" fontId="1" fillId="0" borderId="21" xfId="0" applyNumberFormat="1" applyFont="1" applyBorder="1"/>
    <xf numFmtId="0" fontId="1" fillId="0" borderId="22" xfId="0" applyFont="1" applyBorder="1"/>
    <xf numFmtId="0" fontId="1" fillId="0" borderId="9" xfId="0" applyFont="1" applyBorder="1"/>
    <xf numFmtId="0" fontId="1" fillId="0" borderId="23" xfId="0" applyFont="1" applyBorder="1"/>
    <xf numFmtId="0" fontId="1" fillId="0" borderId="20" xfId="0" applyFont="1" applyBorder="1"/>
    <xf numFmtId="0" fontId="1" fillId="0" borderId="7" xfId="0" applyFont="1" applyBorder="1"/>
    <xf numFmtId="0" fontId="1" fillId="0" borderId="24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4" fillId="0" borderId="0" xfId="0" applyFont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10" xfId="0" applyFont="1" applyBorder="1"/>
    <xf numFmtId="0" fontId="1" fillId="0" borderId="0" xfId="0" applyFont="1" applyAlignment="1">
      <alignment horizontal="right"/>
    </xf>
    <xf numFmtId="0" fontId="1" fillId="0" borderId="27" xfId="0" applyFont="1" applyBorder="1" applyAlignment="1">
      <alignment horizontal="right"/>
    </xf>
    <xf numFmtId="2" fontId="1" fillId="0" borderId="32" xfId="0" applyNumberFormat="1" applyFont="1" applyBorder="1"/>
    <xf numFmtId="0" fontId="1" fillId="0" borderId="32" xfId="0" applyFont="1" applyBorder="1"/>
    <xf numFmtId="0" fontId="6" fillId="0" borderId="36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2" fontId="5" fillId="0" borderId="36" xfId="0" applyNumberFormat="1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2" fontId="1" fillId="0" borderId="24" xfId="0" applyNumberFormat="1" applyFont="1" applyBorder="1"/>
    <xf numFmtId="2" fontId="1" fillId="0" borderId="27" xfId="0" applyNumberFormat="1" applyFont="1" applyBorder="1"/>
    <xf numFmtId="2" fontId="1" fillId="0" borderId="23" xfId="0" applyNumberFormat="1" applyFont="1" applyBorder="1"/>
    <xf numFmtId="2" fontId="1" fillId="0" borderId="22" xfId="0" applyNumberFormat="1" applyFont="1" applyBorder="1"/>
    <xf numFmtId="0" fontId="1" fillId="0" borderId="11" xfId="0" applyFont="1" applyBorder="1"/>
    <xf numFmtId="0" fontId="7" fillId="0" borderId="4" xfId="0" applyFont="1" applyBorder="1"/>
    <xf numFmtId="0" fontId="7" fillId="0" borderId="14" xfId="0" applyFont="1" applyBorder="1"/>
    <xf numFmtId="0" fontId="7" fillId="0" borderId="5" xfId="0" applyFont="1" applyBorder="1"/>
    <xf numFmtId="0" fontId="7" fillId="0" borderId="39" xfId="0" applyFont="1" applyBorder="1"/>
    <xf numFmtId="0" fontId="7" fillId="0" borderId="40" xfId="0" applyFont="1" applyBorder="1"/>
    <xf numFmtId="0" fontId="5" fillId="0" borderId="4" xfId="0" applyFont="1" applyBorder="1"/>
    <xf numFmtId="0" fontId="5" fillId="0" borderId="5" xfId="0" applyFont="1" applyBorder="1"/>
    <xf numFmtId="2" fontId="5" fillId="0" borderId="7" xfId="0" applyNumberFormat="1" applyFont="1" applyBorder="1"/>
    <xf numFmtId="2" fontId="5" fillId="0" borderId="8" xfId="0" applyNumberFormat="1" applyFont="1" applyBorder="1"/>
    <xf numFmtId="2" fontId="5" fillId="0" borderId="9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9" fillId="0" borderId="2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2" fontId="10" fillId="0" borderId="45" xfId="0" applyNumberFormat="1" applyFont="1" applyBorder="1" applyAlignment="1">
      <alignment horizontal="center" vertical="center"/>
    </xf>
    <xf numFmtId="2" fontId="10" fillId="0" borderId="46" xfId="0" applyNumberFormat="1" applyFont="1" applyBorder="1" applyAlignment="1">
      <alignment horizontal="center" vertical="center"/>
    </xf>
    <xf numFmtId="2" fontId="10" fillId="0" borderId="47" xfId="0" applyNumberFormat="1" applyFont="1" applyBorder="1" applyAlignment="1">
      <alignment horizontal="center" vertical="center"/>
    </xf>
    <xf numFmtId="2" fontId="10" fillId="0" borderId="48" xfId="0" applyNumberFormat="1" applyFont="1" applyBorder="1" applyAlignment="1">
      <alignment horizontal="center" vertical="center"/>
    </xf>
    <xf numFmtId="2" fontId="10" fillId="0" borderId="36" xfId="0" applyNumberFormat="1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center" vertical="center"/>
    </xf>
    <xf numFmtId="2" fontId="10" fillId="0" borderId="52" xfId="0" applyNumberFormat="1" applyFont="1" applyBorder="1" applyAlignment="1">
      <alignment horizontal="center" vertical="center"/>
    </xf>
    <xf numFmtId="2" fontId="10" fillId="0" borderId="53" xfId="0" applyNumberFormat="1" applyFont="1" applyBorder="1" applyAlignment="1">
      <alignment horizontal="center" vertical="center"/>
    </xf>
    <xf numFmtId="2" fontId="10" fillId="0" borderId="5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8" xfId="0" applyFont="1" applyBorder="1"/>
    <xf numFmtId="0" fontId="1" fillId="0" borderId="36" xfId="0" applyFont="1" applyBorder="1"/>
    <xf numFmtId="0" fontId="1" fillId="0" borderId="52" xfId="0" applyFont="1" applyBorder="1"/>
    <xf numFmtId="0" fontId="1" fillId="0" borderId="53" xfId="0" applyFont="1" applyBorder="1"/>
    <xf numFmtId="0" fontId="5" fillId="0" borderId="48" xfId="0" applyFont="1" applyBorder="1"/>
    <xf numFmtId="0" fontId="5" fillId="0" borderId="55" xfId="0" applyFont="1" applyBorder="1"/>
    <xf numFmtId="0" fontId="5" fillId="0" borderId="45" xfId="0" applyFont="1" applyBorder="1"/>
    <xf numFmtId="0" fontId="5" fillId="0" borderId="49" xfId="0" applyFont="1" applyBorder="1"/>
    <xf numFmtId="2" fontId="5" fillId="0" borderId="48" xfId="0" applyNumberFormat="1" applyFont="1" applyBorder="1"/>
    <xf numFmtId="2" fontId="5" fillId="0" borderId="55" xfId="0" applyNumberFormat="1" applyFont="1" applyBorder="1"/>
    <xf numFmtId="0" fontId="1" fillId="0" borderId="49" xfId="0" applyFont="1" applyBorder="1"/>
    <xf numFmtId="0" fontId="7" fillId="0" borderId="45" xfId="0" applyFont="1" applyBorder="1"/>
    <xf numFmtId="0" fontId="7" fillId="0" borderId="46" xfId="0" applyFont="1" applyBorder="1"/>
    <xf numFmtId="0" fontId="7" fillId="0" borderId="49" xfId="0" applyFont="1" applyBorder="1"/>
    <xf numFmtId="2" fontId="1" fillId="0" borderId="48" xfId="0" applyNumberFormat="1" applyFont="1" applyBorder="1"/>
    <xf numFmtId="2" fontId="1" fillId="0" borderId="36" xfId="0" applyNumberFormat="1" applyFont="1" applyBorder="1"/>
    <xf numFmtId="2" fontId="7" fillId="0" borderId="48" xfId="0" applyNumberFormat="1" applyFont="1" applyBorder="1"/>
    <xf numFmtId="2" fontId="7" fillId="0" borderId="36" xfId="0" applyNumberFormat="1" applyFont="1" applyBorder="1"/>
    <xf numFmtId="2" fontId="1" fillId="0" borderId="52" xfId="0" applyNumberFormat="1" applyFont="1" applyBorder="1"/>
    <xf numFmtId="2" fontId="1" fillId="0" borderId="53" xfId="0" applyNumberFormat="1" applyFont="1" applyBorder="1"/>
    <xf numFmtId="2" fontId="7" fillId="0" borderId="52" xfId="0" applyNumberFormat="1" applyFont="1" applyBorder="1"/>
    <xf numFmtId="2" fontId="7" fillId="0" borderId="53" xfId="0" applyNumberFormat="1" applyFont="1" applyBorder="1"/>
    <xf numFmtId="0" fontId="1" fillId="0" borderId="44" xfId="0" applyFont="1" applyBorder="1"/>
    <xf numFmtId="2" fontId="1" fillId="0" borderId="47" xfId="0" applyNumberFormat="1" applyFont="1" applyBorder="1"/>
    <xf numFmtId="2" fontId="1" fillId="0" borderId="46" xfId="0" applyNumberFormat="1" applyFont="1" applyBorder="1"/>
    <xf numFmtId="2" fontId="1" fillId="0" borderId="49" xfId="0" applyNumberFormat="1" applyFont="1" applyBorder="1"/>
    <xf numFmtId="0" fontId="1" fillId="0" borderId="58" xfId="0" applyFont="1" applyBorder="1"/>
    <xf numFmtId="2" fontId="1" fillId="0" borderId="35" xfId="0" applyNumberFormat="1" applyFont="1" applyBorder="1"/>
    <xf numFmtId="2" fontId="1" fillId="0" borderId="55" xfId="0" applyNumberFormat="1" applyFont="1" applyBorder="1"/>
    <xf numFmtId="0" fontId="1" fillId="0" borderId="59" xfId="0" applyFont="1" applyBorder="1"/>
    <xf numFmtId="2" fontId="1" fillId="0" borderId="54" xfId="0" applyNumberFormat="1" applyFont="1" applyBorder="1"/>
    <xf numFmtId="2" fontId="1" fillId="0" borderId="60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/>
    <xf numFmtId="0" fontId="5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32" xfId="0" applyFont="1" applyBorder="1"/>
    <xf numFmtId="0" fontId="2" fillId="0" borderId="20" xfId="0" applyFont="1" applyBorder="1"/>
    <xf numFmtId="2" fontId="10" fillId="0" borderId="51" xfId="0" applyNumberFormat="1" applyFont="1" applyBorder="1" applyAlignment="1">
      <alignment horizontal="center" vertical="center"/>
    </xf>
    <xf numFmtId="0" fontId="2" fillId="0" borderId="46" xfId="0" applyFont="1" applyBorder="1"/>
    <xf numFmtId="2" fontId="10" fillId="0" borderId="18" xfId="0" applyNumberFormat="1" applyFont="1" applyBorder="1" applyAlignment="1">
      <alignment horizontal="center" vertical="center"/>
    </xf>
    <xf numFmtId="0" fontId="2" fillId="0" borderId="49" xfId="0" applyFont="1" applyBorder="1"/>
    <xf numFmtId="0" fontId="2" fillId="0" borderId="23" xfId="0" applyFont="1" applyBorder="1"/>
    <xf numFmtId="0" fontId="2" fillId="0" borderId="11" xfId="0" applyFont="1" applyBorder="1"/>
    <xf numFmtId="2" fontId="10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2" fontId="10" fillId="0" borderId="24" xfId="0" applyNumberFormat="1" applyFont="1" applyBorder="1" applyAlignment="1">
      <alignment horizontal="center" vertical="center"/>
    </xf>
    <xf numFmtId="2" fontId="9" fillId="0" borderId="50" xfId="0" applyNumberFormat="1" applyFont="1" applyBorder="1" applyAlignment="1">
      <alignment horizontal="center" vertical="center"/>
    </xf>
    <xf numFmtId="0" fontId="2" fillId="0" borderId="40" xfId="0" applyFont="1" applyBorder="1"/>
    <xf numFmtId="0" fontId="2" fillId="0" borderId="22" xfId="0" applyFont="1" applyBorder="1"/>
    <xf numFmtId="2" fontId="9" fillId="0" borderId="27" xfId="0" applyNumberFormat="1" applyFont="1" applyBorder="1" applyAlignment="1">
      <alignment horizontal="center" vertical="center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0" borderId="5" xfId="0" applyFont="1" applyBorder="1"/>
    <xf numFmtId="0" fontId="5" fillId="0" borderId="56" xfId="0" applyFont="1" applyBorder="1" applyAlignment="1">
      <alignment horizontal="center"/>
    </xf>
    <xf numFmtId="0" fontId="2" fillId="0" borderId="57" xfId="0" applyFont="1" applyBorder="1"/>
    <xf numFmtId="2" fontId="7" fillId="0" borderId="51" xfId="0" applyNumberFormat="1" applyFont="1" applyBorder="1" applyAlignment="1">
      <alignment horizontal="center"/>
    </xf>
    <xf numFmtId="0" fontId="2" fillId="0" borderId="24" xfId="0" applyFont="1" applyBorder="1"/>
    <xf numFmtId="2" fontId="7" fillId="0" borderId="18" xfId="0" applyNumberFormat="1" applyFont="1" applyBorder="1" applyAlignment="1">
      <alignment horizontal="center"/>
    </xf>
    <xf numFmtId="0" fontId="2" fillId="0" borderId="19" xfId="0" applyFont="1" applyBorder="1"/>
    <xf numFmtId="0" fontId="7" fillId="0" borderId="1" xfId="0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000"/>
  <sheetViews>
    <sheetView tabSelected="1" topLeftCell="A57" workbookViewId="0">
      <selection activeCell="B60" sqref="B60:D85"/>
    </sheetView>
  </sheetViews>
  <sheetFormatPr baseColWidth="10" defaultColWidth="11.1640625" defaultRowHeight="15" customHeight="1" x14ac:dyDescent="0.2"/>
  <cols>
    <col min="1" max="2" width="15.6640625" customWidth="1"/>
    <col min="3" max="3" width="20.1640625" customWidth="1"/>
    <col min="4" max="4" width="16" customWidth="1"/>
    <col min="5" max="5" width="16.33203125" customWidth="1"/>
    <col min="6" max="6" width="15.83203125" customWidth="1"/>
    <col min="7" max="7" width="17" customWidth="1"/>
    <col min="8" max="8" width="17.5" customWidth="1"/>
    <col min="9" max="9" width="15.6640625" customWidth="1"/>
    <col min="10" max="10" width="15" customWidth="1"/>
    <col min="11" max="11" width="14.6640625" customWidth="1"/>
    <col min="12" max="12" width="15.1640625" customWidth="1"/>
    <col min="13" max="14" width="14.83203125" customWidth="1"/>
    <col min="15" max="15" width="17.33203125" customWidth="1"/>
    <col min="16" max="16" width="16.1640625" customWidth="1"/>
    <col min="17" max="17" width="19.5" customWidth="1"/>
    <col min="18" max="18" width="16.33203125" customWidth="1"/>
    <col min="19" max="19" width="11" customWidth="1"/>
    <col min="20" max="20" width="17.1640625" customWidth="1"/>
    <col min="21" max="21" width="11" customWidth="1"/>
    <col min="22" max="22" width="15.1640625" customWidth="1"/>
    <col min="23" max="23" width="11" customWidth="1"/>
    <col min="24" max="24" width="15.83203125" customWidth="1"/>
    <col min="25" max="25" width="11" customWidth="1"/>
    <col min="26" max="26" width="15.83203125" customWidth="1"/>
    <col min="27" max="27" width="11" customWidth="1"/>
    <col min="28" max="28" width="14.5" customWidth="1"/>
    <col min="29" max="29" width="11" customWidth="1"/>
    <col min="30" max="30" width="15.83203125" customWidth="1"/>
  </cols>
  <sheetData>
    <row r="1" spans="2:30" ht="15.75" customHeight="1" x14ac:dyDescent="0.2"/>
    <row r="2" spans="2:30" ht="15.75" customHeight="1" x14ac:dyDescent="0.2">
      <c r="B2" s="120" t="s">
        <v>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8"/>
    </row>
    <row r="3" spans="2:30" ht="15.75" customHeight="1" x14ac:dyDescent="0.2">
      <c r="B3" s="124" t="s">
        <v>1</v>
      </c>
      <c r="C3" s="118"/>
      <c r="D3" s="117" t="s">
        <v>2</v>
      </c>
      <c r="E3" s="118"/>
      <c r="F3" s="117" t="s">
        <v>3</v>
      </c>
      <c r="G3" s="118"/>
      <c r="H3" s="117" t="s">
        <v>4</v>
      </c>
      <c r="I3" s="118"/>
      <c r="J3" s="117" t="s">
        <v>5</v>
      </c>
      <c r="K3" s="118"/>
      <c r="L3" s="117" t="s">
        <v>6</v>
      </c>
      <c r="M3" s="118"/>
      <c r="N3" s="117" t="s">
        <v>7</v>
      </c>
      <c r="O3" s="118"/>
      <c r="P3" s="117" t="s">
        <v>8</v>
      </c>
      <c r="Q3" s="119"/>
      <c r="R3" s="118"/>
      <c r="S3" s="117" t="s">
        <v>9</v>
      </c>
      <c r="T3" s="118"/>
      <c r="U3" s="117" t="s">
        <v>10</v>
      </c>
      <c r="V3" s="118"/>
      <c r="W3" s="117" t="s">
        <v>11</v>
      </c>
      <c r="X3" s="118"/>
      <c r="Y3" s="117" t="s">
        <v>12</v>
      </c>
      <c r="Z3" s="118"/>
      <c r="AA3" s="117" t="s">
        <v>13</v>
      </c>
      <c r="AB3" s="118"/>
    </row>
    <row r="4" spans="2:30" ht="15.75" customHeight="1" x14ac:dyDescent="0.2">
      <c r="B4" s="1" t="s">
        <v>14</v>
      </c>
      <c r="C4" s="2" t="s">
        <v>15</v>
      </c>
      <c r="D4" s="1" t="s">
        <v>14</v>
      </c>
      <c r="E4" s="2" t="s">
        <v>15</v>
      </c>
      <c r="F4" s="1" t="s">
        <v>14</v>
      </c>
      <c r="G4" s="2" t="s">
        <v>15</v>
      </c>
      <c r="H4" s="1" t="s">
        <v>14</v>
      </c>
      <c r="I4" s="2" t="s">
        <v>15</v>
      </c>
      <c r="J4" s="1" t="s">
        <v>14</v>
      </c>
      <c r="K4" s="2" t="s">
        <v>15</v>
      </c>
      <c r="L4" s="1" t="s">
        <v>14</v>
      </c>
      <c r="M4" s="2" t="s">
        <v>15</v>
      </c>
      <c r="N4" s="1" t="s">
        <v>14</v>
      </c>
      <c r="O4" s="2" t="s">
        <v>15</v>
      </c>
      <c r="P4" s="1" t="s">
        <v>14</v>
      </c>
      <c r="Q4" s="3"/>
      <c r="R4" s="2" t="s">
        <v>15</v>
      </c>
      <c r="S4" s="1" t="s">
        <v>14</v>
      </c>
      <c r="T4" s="2" t="s">
        <v>15</v>
      </c>
      <c r="U4" s="1" t="s">
        <v>14</v>
      </c>
      <c r="V4" s="2" t="s">
        <v>15</v>
      </c>
      <c r="W4" s="1" t="s">
        <v>14</v>
      </c>
      <c r="X4" s="2" t="s">
        <v>15</v>
      </c>
      <c r="Y4" s="1" t="s">
        <v>14</v>
      </c>
      <c r="Z4" s="2" t="s">
        <v>15</v>
      </c>
      <c r="AA4" s="1" t="s">
        <v>14</v>
      </c>
      <c r="AB4" s="2" t="s">
        <v>15</v>
      </c>
    </row>
    <row r="5" spans="2:30" ht="15.75" customHeight="1" x14ac:dyDescent="0.2">
      <c r="B5" s="4">
        <v>0.4</v>
      </c>
      <c r="C5" s="5">
        <v>39.6</v>
      </c>
      <c r="D5" s="4">
        <v>0.4</v>
      </c>
      <c r="E5" s="5">
        <v>1840</v>
      </c>
      <c r="F5" s="4">
        <v>0.4</v>
      </c>
      <c r="G5" s="5">
        <v>1470</v>
      </c>
      <c r="H5" s="4">
        <v>0.4</v>
      </c>
      <c r="I5" s="5">
        <v>1280</v>
      </c>
      <c r="J5" s="4">
        <v>0.4</v>
      </c>
      <c r="K5" s="5">
        <v>1340</v>
      </c>
      <c r="L5" s="4">
        <v>0.4</v>
      </c>
      <c r="M5" s="5">
        <v>125</v>
      </c>
      <c r="N5" s="4">
        <v>0.4</v>
      </c>
      <c r="O5" s="5">
        <v>507</v>
      </c>
      <c r="P5" s="4">
        <v>0.4</v>
      </c>
      <c r="Q5" s="6"/>
      <c r="R5" s="5">
        <v>18.899999999999999</v>
      </c>
      <c r="S5" s="4">
        <v>0.4</v>
      </c>
      <c r="T5" s="5">
        <v>218</v>
      </c>
      <c r="U5" s="4">
        <v>0.4</v>
      </c>
      <c r="V5" s="5">
        <v>1370</v>
      </c>
      <c r="W5" s="4">
        <v>0.4</v>
      </c>
      <c r="X5" s="5">
        <v>16400</v>
      </c>
      <c r="Y5" s="4">
        <v>0.4</v>
      </c>
      <c r="Z5" s="5">
        <v>1240</v>
      </c>
      <c r="AA5" s="4">
        <v>0.4</v>
      </c>
      <c r="AB5" s="5">
        <v>104</v>
      </c>
    </row>
    <row r="6" spans="2:30" ht="15.75" customHeight="1" x14ac:dyDescent="0.2">
      <c r="B6" s="4">
        <v>0.8</v>
      </c>
      <c r="C6" s="5">
        <v>62.2</v>
      </c>
      <c r="D6" s="4">
        <v>0.8</v>
      </c>
      <c r="E6" s="5">
        <v>3540</v>
      </c>
      <c r="F6" s="4">
        <v>0.8</v>
      </c>
      <c r="G6" s="5">
        <v>3040</v>
      </c>
      <c r="H6" s="4">
        <v>0.8</v>
      </c>
      <c r="I6" s="5">
        <v>2700</v>
      </c>
      <c r="J6" s="4">
        <v>0.8</v>
      </c>
      <c r="K6" s="5">
        <v>2660</v>
      </c>
      <c r="L6" s="4">
        <v>0.8</v>
      </c>
      <c r="M6" s="5">
        <v>233</v>
      </c>
      <c r="N6" s="4">
        <v>0.8</v>
      </c>
      <c r="O6" s="5">
        <v>1140</v>
      </c>
      <c r="P6" s="4">
        <v>0.8</v>
      </c>
      <c r="Q6" s="6"/>
      <c r="R6" s="5">
        <v>35.9</v>
      </c>
      <c r="S6" s="4">
        <v>0.8</v>
      </c>
      <c r="T6" s="5">
        <v>346</v>
      </c>
      <c r="U6" s="4">
        <v>0.8</v>
      </c>
      <c r="V6" s="5">
        <v>2170</v>
      </c>
      <c r="W6" s="4">
        <v>0.8</v>
      </c>
      <c r="X6" s="5">
        <v>31900</v>
      </c>
      <c r="Y6" s="4">
        <v>0.8</v>
      </c>
      <c r="Z6" s="5">
        <v>2240</v>
      </c>
      <c r="AA6" s="4">
        <v>0.8</v>
      </c>
      <c r="AB6" s="5">
        <v>183</v>
      </c>
    </row>
    <row r="7" spans="2:30" ht="15.75" customHeight="1" x14ac:dyDescent="0.2">
      <c r="B7" s="4">
        <v>1.2</v>
      </c>
      <c r="C7" s="5">
        <v>98.1</v>
      </c>
      <c r="D7" s="4">
        <v>1.2</v>
      </c>
      <c r="E7" s="5">
        <v>5190</v>
      </c>
      <c r="F7" s="4">
        <v>1.2</v>
      </c>
      <c r="G7" s="5">
        <v>4430</v>
      </c>
      <c r="H7" s="4">
        <v>1.2</v>
      </c>
      <c r="I7" s="5">
        <v>4180</v>
      </c>
      <c r="J7" s="4">
        <v>1.2</v>
      </c>
      <c r="K7" s="5">
        <v>4030</v>
      </c>
      <c r="L7" s="4">
        <v>1.2</v>
      </c>
      <c r="M7" s="5">
        <v>400</v>
      </c>
      <c r="N7" s="4">
        <v>1.2</v>
      </c>
      <c r="O7" s="5">
        <v>1850</v>
      </c>
      <c r="P7" s="4">
        <v>1.2</v>
      </c>
      <c r="Q7" s="6"/>
      <c r="R7" s="5">
        <v>60.4</v>
      </c>
      <c r="S7" s="4">
        <v>1.2</v>
      </c>
      <c r="T7" s="5">
        <v>543</v>
      </c>
      <c r="U7" s="4">
        <v>1.2</v>
      </c>
      <c r="V7" s="5">
        <v>3100</v>
      </c>
      <c r="W7" s="4">
        <v>1.2</v>
      </c>
      <c r="X7" s="5">
        <v>49000</v>
      </c>
      <c r="Y7" s="4">
        <v>1.2</v>
      </c>
      <c r="Z7" s="5">
        <v>3450</v>
      </c>
      <c r="AA7" s="4">
        <v>1.2</v>
      </c>
      <c r="AB7" s="5">
        <v>286</v>
      </c>
    </row>
    <row r="8" spans="2:30" ht="15.75" customHeight="1" x14ac:dyDescent="0.2">
      <c r="B8" s="4">
        <v>1.6</v>
      </c>
      <c r="C8" s="5">
        <v>155</v>
      </c>
      <c r="D8" s="4">
        <v>1.6</v>
      </c>
      <c r="E8" s="5">
        <v>7320</v>
      </c>
      <c r="F8" s="4">
        <v>1.6</v>
      </c>
      <c r="G8" s="5">
        <v>5720</v>
      </c>
      <c r="H8" s="4">
        <v>1.6</v>
      </c>
      <c r="I8" s="5">
        <v>5680</v>
      </c>
      <c r="J8" s="4">
        <v>1.6</v>
      </c>
      <c r="K8" s="5">
        <v>5310</v>
      </c>
      <c r="L8" s="4">
        <v>1.6</v>
      </c>
      <c r="M8" s="5">
        <v>474</v>
      </c>
      <c r="N8" s="4">
        <v>1.6</v>
      </c>
      <c r="O8" s="5">
        <v>2540</v>
      </c>
      <c r="P8" s="4">
        <v>1.6</v>
      </c>
      <c r="Q8" s="6"/>
      <c r="R8" s="5">
        <v>89.2</v>
      </c>
      <c r="S8" s="4">
        <v>1.6</v>
      </c>
      <c r="T8" s="5">
        <v>727</v>
      </c>
      <c r="U8" s="4">
        <v>1.6</v>
      </c>
      <c r="V8" s="5">
        <v>4150</v>
      </c>
      <c r="W8" s="4">
        <v>1.6</v>
      </c>
      <c r="X8" s="5">
        <v>62300</v>
      </c>
      <c r="Y8" s="4">
        <v>1.6</v>
      </c>
      <c r="Z8" s="5">
        <v>4690</v>
      </c>
      <c r="AA8" s="4">
        <v>1.6</v>
      </c>
      <c r="AB8" s="5">
        <v>361</v>
      </c>
    </row>
    <row r="9" spans="2:30" ht="15.75" customHeight="1" x14ac:dyDescent="0.2">
      <c r="B9" s="7">
        <v>2</v>
      </c>
      <c r="C9" s="5">
        <v>161</v>
      </c>
      <c r="D9" s="7">
        <v>2</v>
      </c>
      <c r="E9" s="5">
        <v>8960</v>
      </c>
      <c r="F9" s="7">
        <v>2</v>
      </c>
      <c r="G9" s="5">
        <v>7360</v>
      </c>
      <c r="H9" s="8">
        <v>2</v>
      </c>
      <c r="I9" s="9">
        <v>7280</v>
      </c>
      <c r="J9" s="7">
        <v>2</v>
      </c>
      <c r="K9" s="5">
        <v>6580</v>
      </c>
      <c r="L9" s="7">
        <v>2</v>
      </c>
      <c r="M9" s="5">
        <v>587</v>
      </c>
      <c r="N9" s="7">
        <v>2</v>
      </c>
      <c r="O9" s="5">
        <v>3270</v>
      </c>
      <c r="P9" s="7">
        <v>2</v>
      </c>
      <c r="Q9" s="6"/>
      <c r="R9" s="5">
        <v>107</v>
      </c>
      <c r="S9" s="7">
        <v>2</v>
      </c>
      <c r="T9" s="5">
        <v>949</v>
      </c>
      <c r="U9" s="7">
        <v>2</v>
      </c>
      <c r="V9" s="5">
        <v>5300</v>
      </c>
      <c r="W9" s="7">
        <v>2</v>
      </c>
      <c r="X9" s="5">
        <v>82400</v>
      </c>
      <c r="Y9" s="7">
        <v>2</v>
      </c>
      <c r="Z9" s="5">
        <v>5810</v>
      </c>
      <c r="AA9" s="7">
        <v>2</v>
      </c>
      <c r="AB9" s="5">
        <v>464</v>
      </c>
    </row>
    <row r="10" spans="2:30" ht="15.75" customHeight="1" x14ac:dyDescent="0.2">
      <c r="B10" s="117" t="s">
        <v>16</v>
      </c>
      <c r="C10" s="118"/>
      <c r="D10" s="117" t="s">
        <v>17</v>
      </c>
      <c r="E10" s="118"/>
      <c r="F10" s="117" t="s">
        <v>18</v>
      </c>
      <c r="G10" s="118"/>
      <c r="H10" s="117" t="s">
        <v>19</v>
      </c>
      <c r="I10" s="118"/>
      <c r="J10" s="117" t="s">
        <v>20</v>
      </c>
      <c r="K10" s="118"/>
      <c r="L10" s="117" t="s">
        <v>21</v>
      </c>
      <c r="M10" s="118"/>
      <c r="N10" s="117" t="s">
        <v>22</v>
      </c>
      <c r="O10" s="118"/>
      <c r="P10" s="117" t="s">
        <v>23</v>
      </c>
      <c r="Q10" s="119"/>
      <c r="R10" s="118"/>
      <c r="S10" s="117" t="s">
        <v>24</v>
      </c>
      <c r="T10" s="118"/>
      <c r="U10" s="117" t="s">
        <v>25</v>
      </c>
      <c r="V10" s="118"/>
      <c r="W10" s="117" t="s">
        <v>26</v>
      </c>
      <c r="X10" s="118"/>
      <c r="Y10" s="117" t="s">
        <v>27</v>
      </c>
      <c r="Z10" s="118"/>
      <c r="AA10" s="117" t="s">
        <v>28</v>
      </c>
      <c r="AB10" s="118"/>
    </row>
    <row r="11" spans="2:30" ht="15.75" customHeight="1" x14ac:dyDescent="0.2"/>
    <row r="12" spans="2:30" ht="15.75" customHeight="1" x14ac:dyDescent="0.2"/>
    <row r="13" spans="2:30" ht="15.75" customHeight="1" x14ac:dyDescent="0.2"/>
    <row r="14" spans="2:30" ht="15.75" customHeight="1" x14ac:dyDescent="0.2">
      <c r="B14" s="120" t="s">
        <v>29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8"/>
    </row>
    <row r="15" spans="2:30" ht="15.75" customHeight="1" x14ac:dyDescent="0.2">
      <c r="B15" s="117" t="s">
        <v>30</v>
      </c>
      <c r="C15" s="118"/>
      <c r="D15" s="117" t="s">
        <v>31</v>
      </c>
      <c r="E15" s="118"/>
      <c r="F15" s="117" t="s">
        <v>32</v>
      </c>
      <c r="G15" s="118"/>
      <c r="H15" s="117" t="s">
        <v>33</v>
      </c>
      <c r="I15" s="118"/>
      <c r="J15" s="117" t="s">
        <v>34</v>
      </c>
      <c r="K15" s="118"/>
      <c r="L15" s="117" t="s">
        <v>2</v>
      </c>
      <c r="M15" s="118"/>
      <c r="N15" s="117" t="s">
        <v>1</v>
      </c>
      <c r="O15" s="118"/>
      <c r="P15" s="117" t="s">
        <v>5</v>
      </c>
      <c r="Q15" s="119"/>
      <c r="R15" s="118"/>
      <c r="S15" s="117" t="s">
        <v>35</v>
      </c>
      <c r="T15" s="118"/>
      <c r="U15" s="117" t="s">
        <v>36</v>
      </c>
      <c r="V15" s="118"/>
      <c r="W15" s="117" t="s">
        <v>37</v>
      </c>
      <c r="X15" s="118"/>
      <c r="Y15" s="117" t="s">
        <v>38</v>
      </c>
      <c r="Z15" s="118"/>
      <c r="AA15" s="117" t="s">
        <v>39</v>
      </c>
      <c r="AB15" s="118"/>
      <c r="AC15" s="117" t="s">
        <v>40</v>
      </c>
      <c r="AD15" s="118"/>
    </row>
    <row r="16" spans="2:30" ht="15.75" customHeight="1" x14ac:dyDescent="0.2">
      <c r="B16" s="10" t="s">
        <v>14</v>
      </c>
      <c r="C16" s="11" t="s">
        <v>15</v>
      </c>
      <c r="D16" s="12" t="s">
        <v>14</v>
      </c>
      <c r="E16" s="2" t="s">
        <v>15</v>
      </c>
      <c r="F16" s="1" t="s">
        <v>14</v>
      </c>
      <c r="G16" s="2" t="s">
        <v>15</v>
      </c>
      <c r="H16" s="1" t="s">
        <v>14</v>
      </c>
      <c r="I16" s="11" t="s">
        <v>15</v>
      </c>
      <c r="J16" s="1" t="s">
        <v>14</v>
      </c>
      <c r="K16" s="13" t="s">
        <v>15</v>
      </c>
      <c r="L16" s="12" t="s">
        <v>14</v>
      </c>
      <c r="M16" s="2" t="s">
        <v>15</v>
      </c>
      <c r="N16" s="1" t="s">
        <v>14</v>
      </c>
      <c r="O16" s="2" t="s">
        <v>15</v>
      </c>
      <c r="P16" s="1" t="s">
        <v>14</v>
      </c>
      <c r="Q16" s="3"/>
      <c r="R16" s="2" t="s">
        <v>15</v>
      </c>
      <c r="S16" s="1" t="s">
        <v>14</v>
      </c>
      <c r="T16" s="2" t="s">
        <v>15</v>
      </c>
      <c r="U16" s="1" t="s">
        <v>14</v>
      </c>
      <c r="V16" s="2" t="s">
        <v>15</v>
      </c>
      <c r="W16" s="1" t="s">
        <v>14</v>
      </c>
      <c r="X16" s="2" t="s">
        <v>15</v>
      </c>
      <c r="Y16" s="1" t="s">
        <v>14</v>
      </c>
      <c r="Z16" s="2" t="s">
        <v>15</v>
      </c>
      <c r="AA16" s="1" t="s">
        <v>14</v>
      </c>
      <c r="AB16" s="2" t="s">
        <v>15</v>
      </c>
      <c r="AC16" s="1" t="s">
        <v>14</v>
      </c>
      <c r="AD16" s="2" t="s">
        <v>15</v>
      </c>
    </row>
    <row r="17" spans="2:30" ht="15.75" customHeight="1" x14ac:dyDescent="0.2">
      <c r="B17" s="4">
        <v>0.4</v>
      </c>
      <c r="C17" s="5">
        <v>609</v>
      </c>
      <c r="D17" s="14">
        <v>0.4</v>
      </c>
      <c r="E17" s="5">
        <v>2040</v>
      </c>
      <c r="F17" s="4">
        <v>0.4</v>
      </c>
      <c r="G17" s="5">
        <v>1120</v>
      </c>
      <c r="H17" s="15">
        <v>0.4</v>
      </c>
      <c r="I17" s="5">
        <v>1550</v>
      </c>
      <c r="J17" s="4">
        <v>0.4</v>
      </c>
      <c r="K17" s="16">
        <v>1.48</v>
      </c>
      <c r="L17" s="14">
        <v>0.4</v>
      </c>
      <c r="M17" s="5">
        <v>1600</v>
      </c>
      <c r="N17" s="4">
        <v>0.4</v>
      </c>
      <c r="O17" s="5">
        <v>31.1</v>
      </c>
      <c r="P17" s="4">
        <v>0.4</v>
      </c>
      <c r="Q17" s="6"/>
      <c r="R17" s="5">
        <v>1130</v>
      </c>
      <c r="S17" s="4">
        <v>0.4</v>
      </c>
      <c r="T17" s="5">
        <v>250</v>
      </c>
      <c r="U17" s="4">
        <v>0.4</v>
      </c>
      <c r="V17" s="5">
        <v>151</v>
      </c>
      <c r="W17" s="4">
        <v>0.4</v>
      </c>
      <c r="X17" s="5">
        <v>393</v>
      </c>
      <c r="Y17" s="4">
        <v>0.4</v>
      </c>
      <c r="Z17" s="5">
        <v>12600</v>
      </c>
      <c r="AA17" s="4">
        <v>0.4</v>
      </c>
      <c r="AB17" s="5">
        <v>1180</v>
      </c>
      <c r="AC17" s="4">
        <v>0.4</v>
      </c>
      <c r="AD17" s="5">
        <v>5750</v>
      </c>
    </row>
    <row r="18" spans="2:30" ht="15.75" customHeight="1" x14ac:dyDescent="0.2">
      <c r="B18" s="4">
        <v>0.8</v>
      </c>
      <c r="C18" s="5">
        <v>1290</v>
      </c>
      <c r="D18" s="14">
        <v>0.8</v>
      </c>
      <c r="E18" s="5">
        <v>4100</v>
      </c>
      <c r="F18" s="4">
        <v>0.8</v>
      </c>
      <c r="G18" s="5">
        <v>2200</v>
      </c>
      <c r="H18" s="4">
        <v>0.8</v>
      </c>
      <c r="I18" s="5">
        <v>3040</v>
      </c>
      <c r="J18" s="4">
        <v>0.8</v>
      </c>
      <c r="K18" s="5">
        <v>5.93</v>
      </c>
      <c r="L18" s="14">
        <v>0.8</v>
      </c>
      <c r="M18" s="5">
        <v>3160</v>
      </c>
      <c r="N18" s="4">
        <v>0.8</v>
      </c>
      <c r="O18" s="5">
        <v>65.2</v>
      </c>
      <c r="P18" s="4">
        <v>0.8</v>
      </c>
      <c r="Q18" s="6"/>
      <c r="R18" s="5">
        <v>2330</v>
      </c>
      <c r="S18" s="4">
        <v>0.8</v>
      </c>
      <c r="T18" s="5">
        <v>464</v>
      </c>
      <c r="U18" s="4">
        <v>0.8</v>
      </c>
      <c r="V18" s="5">
        <v>289</v>
      </c>
      <c r="W18" s="4">
        <v>0.8</v>
      </c>
      <c r="X18" s="5">
        <v>692</v>
      </c>
      <c r="Y18" s="4">
        <v>0.8</v>
      </c>
      <c r="Z18" s="5">
        <v>25500</v>
      </c>
      <c r="AA18" s="4">
        <v>0.8</v>
      </c>
      <c r="AB18" s="5">
        <v>2440</v>
      </c>
      <c r="AC18" s="4">
        <v>0.8</v>
      </c>
      <c r="AD18" s="5">
        <v>11800</v>
      </c>
    </row>
    <row r="19" spans="2:30" ht="15.75" customHeight="1" x14ac:dyDescent="0.2">
      <c r="B19" s="4">
        <v>1.2</v>
      </c>
      <c r="C19" s="5">
        <v>1780</v>
      </c>
      <c r="D19" s="14">
        <v>1.2</v>
      </c>
      <c r="E19" s="5">
        <v>5920</v>
      </c>
      <c r="F19" s="4">
        <v>1.2</v>
      </c>
      <c r="G19" s="5">
        <v>3270</v>
      </c>
      <c r="H19" s="4">
        <v>1.2</v>
      </c>
      <c r="I19" s="5">
        <v>4430</v>
      </c>
      <c r="J19" s="4">
        <v>1.2</v>
      </c>
      <c r="K19" s="5">
        <v>3.7</v>
      </c>
      <c r="L19" s="14">
        <v>1.2</v>
      </c>
      <c r="M19" s="5">
        <v>4770</v>
      </c>
      <c r="N19" s="4">
        <v>1.2</v>
      </c>
      <c r="O19" s="5">
        <v>88.9</v>
      </c>
      <c r="P19" s="4">
        <v>1.2</v>
      </c>
      <c r="Q19" s="6"/>
      <c r="R19" s="5">
        <v>3430</v>
      </c>
      <c r="S19" s="4">
        <v>1.2</v>
      </c>
      <c r="T19" s="5">
        <v>695</v>
      </c>
      <c r="U19" s="4">
        <v>1.2</v>
      </c>
      <c r="V19" s="5">
        <v>425</v>
      </c>
      <c r="W19" s="4">
        <v>1.2</v>
      </c>
      <c r="X19" s="5">
        <v>1060</v>
      </c>
      <c r="Y19" s="4">
        <v>1.2</v>
      </c>
      <c r="Z19" s="5">
        <v>38500</v>
      </c>
      <c r="AA19" s="4">
        <v>1.2</v>
      </c>
      <c r="AB19" s="5">
        <v>3530</v>
      </c>
      <c r="AC19" s="4">
        <v>1.2</v>
      </c>
      <c r="AD19" s="5">
        <v>17800</v>
      </c>
    </row>
    <row r="20" spans="2:30" ht="15.75" customHeight="1" x14ac:dyDescent="0.2">
      <c r="B20" s="8">
        <v>1.6</v>
      </c>
      <c r="C20" s="17">
        <v>2360</v>
      </c>
      <c r="D20" s="14">
        <v>1.6</v>
      </c>
      <c r="E20" s="5">
        <v>7790</v>
      </c>
      <c r="F20" s="4">
        <v>1.6</v>
      </c>
      <c r="G20" s="5">
        <v>4200</v>
      </c>
      <c r="H20" s="4">
        <v>1.6</v>
      </c>
      <c r="I20" s="5">
        <v>5620</v>
      </c>
      <c r="J20" s="4">
        <v>1.6</v>
      </c>
      <c r="K20" s="5">
        <v>11.9</v>
      </c>
      <c r="L20" s="14">
        <v>1.6</v>
      </c>
      <c r="M20" s="5">
        <v>6280</v>
      </c>
      <c r="N20" s="4">
        <v>1.6</v>
      </c>
      <c r="O20" s="5">
        <v>100</v>
      </c>
      <c r="P20" s="4">
        <v>1.6</v>
      </c>
      <c r="Q20" s="6"/>
      <c r="R20" s="5">
        <v>4520</v>
      </c>
      <c r="S20" s="4">
        <v>1.6</v>
      </c>
      <c r="T20" s="5">
        <v>918</v>
      </c>
      <c r="U20" s="4">
        <v>1.6</v>
      </c>
      <c r="V20" s="5">
        <v>606</v>
      </c>
      <c r="W20" s="4">
        <v>1.6</v>
      </c>
      <c r="X20" s="5">
        <v>1520</v>
      </c>
      <c r="Y20" s="4">
        <v>1.6</v>
      </c>
      <c r="Z20" s="5">
        <v>52500</v>
      </c>
      <c r="AA20" s="4">
        <v>1.6</v>
      </c>
      <c r="AB20" s="5">
        <v>4820</v>
      </c>
      <c r="AC20" s="4">
        <v>1.6</v>
      </c>
      <c r="AD20" s="5">
        <v>24400</v>
      </c>
    </row>
    <row r="21" spans="2:30" ht="15.75" customHeight="1" x14ac:dyDescent="0.2">
      <c r="B21" s="7">
        <v>2</v>
      </c>
      <c r="C21" s="18">
        <v>2950</v>
      </c>
      <c r="D21" s="19">
        <v>2</v>
      </c>
      <c r="E21" s="5">
        <v>9990</v>
      </c>
      <c r="F21" s="7">
        <v>2</v>
      </c>
      <c r="G21" s="5">
        <v>5410</v>
      </c>
      <c r="H21" s="7">
        <v>2</v>
      </c>
      <c r="I21" s="18">
        <v>7130</v>
      </c>
      <c r="J21" s="7">
        <v>2</v>
      </c>
      <c r="K21" s="18">
        <v>11.9</v>
      </c>
      <c r="L21" s="19">
        <v>2</v>
      </c>
      <c r="M21" s="5">
        <v>8110</v>
      </c>
      <c r="N21" s="7">
        <v>2</v>
      </c>
      <c r="O21" s="5">
        <v>154</v>
      </c>
      <c r="P21" s="7">
        <v>2</v>
      </c>
      <c r="Q21" s="6"/>
      <c r="R21" s="5">
        <v>5890</v>
      </c>
      <c r="S21" s="7">
        <v>2</v>
      </c>
      <c r="T21" s="5">
        <v>1200</v>
      </c>
      <c r="U21" s="7">
        <v>2</v>
      </c>
      <c r="V21" s="5">
        <v>709</v>
      </c>
      <c r="W21" s="7">
        <v>2</v>
      </c>
      <c r="X21" s="5">
        <v>1990</v>
      </c>
      <c r="Y21" s="7">
        <v>2</v>
      </c>
      <c r="Z21" s="5">
        <v>68600</v>
      </c>
      <c r="AA21" s="7">
        <v>2</v>
      </c>
      <c r="AB21" s="5">
        <v>5120</v>
      </c>
      <c r="AC21" s="7">
        <v>2</v>
      </c>
      <c r="AD21" s="5">
        <v>32300</v>
      </c>
    </row>
    <row r="22" spans="2:30" ht="15.75" customHeight="1" x14ac:dyDescent="0.2">
      <c r="B22" s="117" t="s">
        <v>41</v>
      </c>
      <c r="C22" s="118"/>
      <c r="D22" s="117" t="s">
        <v>42</v>
      </c>
      <c r="E22" s="118"/>
      <c r="F22" s="117" t="s">
        <v>43</v>
      </c>
      <c r="G22" s="118"/>
      <c r="H22" s="117" t="s">
        <v>44</v>
      </c>
      <c r="I22" s="119"/>
      <c r="J22" s="117" t="s">
        <v>45</v>
      </c>
      <c r="K22" s="118"/>
      <c r="L22" s="125" t="s">
        <v>46</v>
      </c>
      <c r="M22" s="118"/>
      <c r="N22" s="117" t="s">
        <v>47</v>
      </c>
      <c r="O22" s="118"/>
      <c r="P22" s="117" t="s">
        <v>48</v>
      </c>
      <c r="Q22" s="119"/>
      <c r="R22" s="118"/>
      <c r="S22" s="117" t="s">
        <v>49</v>
      </c>
      <c r="T22" s="118"/>
      <c r="U22" s="117" t="s">
        <v>50</v>
      </c>
      <c r="V22" s="118"/>
      <c r="W22" s="117" t="s">
        <v>51</v>
      </c>
      <c r="X22" s="118"/>
      <c r="Y22" s="117" t="s">
        <v>52</v>
      </c>
      <c r="Z22" s="118"/>
      <c r="AA22" s="117" t="s">
        <v>53</v>
      </c>
      <c r="AB22" s="118"/>
      <c r="AC22" s="117" t="s">
        <v>54</v>
      </c>
      <c r="AD22" s="118"/>
    </row>
    <row r="23" spans="2:30" ht="15.75" customHeight="1" x14ac:dyDescent="0.2"/>
    <row r="24" spans="2:30" ht="15.75" customHeight="1" x14ac:dyDescent="0.2"/>
    <row r="25" spans="2:30" ht="15.75" customHeight="1" x14ac:dyDescent="0.2"/>
    <row r="26" spans="2:30" ht="15.75" customHeight="1" x14ac:dyDescent="0.2"/>
    <row r="27" spans="2:30" ht="15.75" customHeight="1" x14ac:dyDescent="0.2"/>
    <row r="28" spans="2:30" ht="15.75" customHeight="1" x14ac:dyDescent="0.2">
      <c r="B28" s="120" t="s">
        <v>55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8"/>
    </row>
    <row r="29" spans="2:30" ht="15.75" customHeight="1" x14ac:dyDescent="0.2">
      <c r="B29" s="20" t="s">
        <v>56</v>
      </c>
      <c r="C29" s="21" t="s">
        <v>57</v>
      </c>
      <c r="D29" s="22" t="s">
        <v>58</v>
      </c>
      <c r="E29" s="23" t="s">
        <v>59</v>
      </c>
      <c r="F29" s="21" t="s">
        <v>60</v>
      </c>
      <c r="G29" s="22" t="s">
        <v>61</v>
      </c>
      <c r="H29" s="23" t="s">
        <v>62</v>
      </c>
      <c r="I29" s="24" t="s">
        <v>63</v>
      </c>
      <c r="J29" s="25" t="s">
        <v>64</v>
      </c>
      <c r="K29" s="26" t="s">
        <v>65</v>
      </c>
      <c r="L29" s="20" t="s">
        <v>66</v>
      </c>
      <c r="M29" s="27" t="s">
        <v>67</v>
      </c>
      <c r="N29" s="21" t="s">
        <v>68</v>
      </c>
      <c r="O29" s="22" t="s">
        <v>69</v>
      </c>
      <c r="P29" s="23" t="s">
        <v>70</v>
      </c>
      <c r="Q29" s="23" t="s">
        <v>71</v>
      </c>
      <c r="R29" s="28" t="s">
        <v>72</v>
      </c>
    </row>
    <row r="30" spans="2:30" ht="15.75" customHeight="1" x14ac:dyDescent="0.2">
      <c r="B30" s="29" t="s">
        <v>1</v>
      </c>
      <c r="C30" s="4">
        <v>18.899999999999999</v>
      </c>
      <c r="D30" s="14">
        <v>20.7</v>
      </c>
      <c r="E30" s="6">
        <v>30.4</v>
      </c>
      <c r="F30" s="24">
        <f t="shared" ref="F30:H30" si="0">((C30 - 2.5)/83.9)</f>
        <v>0.19547079856972582</v>
      </c>
      <c r="G30" s="25">
        <f t="shared" si="0"/>
        <v>0.21692491060786648</v>
      </c>
      <c r="H30" s="30">
        <f t="shared" si="0"/>
        <v>0.33253873659117994</v>
      </c>
      <c r="I30" s="31">
        <f t="shared" ref="I30:K30" si="1">((F30*1.678)*1000)</f>
        <v>327.99999999999989</v>
      </c>
      <c r="J30" s="32">
        <f t="shared" si="1"/>
        <v>363.99999999999994</v>
      </c>
      <c r="K30" s="13">
        <f t="shared" si="1"/>
        <v>557.99999999999989</v>
      </c>
      <c r="L30" s="33">
        <f t="shared" ref="L30:L33" si="2">AVERAGE(I30:K30)</f>
        <v>416.66666666666652</v>
      </c>
      <c r="M30" s="34">
        <f t="shared" ref="M30:M33" si="3">_xlfn.STDEV.S(I30:K30)</f>
        <v>123.71472561232717</v>
      </c>
      <c r="N30" s="24">
        <f t="shared" ref="N30:P30" si="4">I30/500</f>
        <v>0.65599999999999981</v>
      </c>
      <c r="O30" s="25">
        <f t="shared" si="4"/>
        <v>0.72799999999999987</v>
      </c>
      <c r="P30" s="26">
        <f t="shared" si="4"/>
        <v>1.1159999999999999</v>
      </c>
      <c r="Q30" s="33">
        <f t="shared" ref="Q30:Q33" si="5">AVERAGE(N30:P30)</f>
        <v>0.83333333333333315</v>
      </c>
      <c r="R30" s="33">
        <f t="shared" ref="R30:R33" si="6">_xlfn.STDEV.S(N30:P30)</f>
        <v>0.24742945122465385</v>
      </c>
    </row>
    <row r="31" spans="2:30" ht="15.75" customHeight="1" x14ac:dyDescent="0.2">
      <c r="B31" s="29" t="s">
        <v>2</v>
      </c>
      <c r="C31" s="4">
        <v>93.3</v>
      </c>
      <c r="D31" s="14">
        <v>113</v>
      </c>
      <c r="E31" s="6">
        <v>123</v>
      </c>
      <c r="F31" s="24">
        <f t="shared" ref="F31:H31" si="7">((C31+36)/4505)</f>
        <v>2.870144284128746E-2</v>
      </c>
      <c r="G31" s="25">
        <f t="shared" si="7"/>
        <v>3.307436182019978E-2</v>
      </c>
      <c r="H31" s="30">
        <f t="shared" si="7"/>
        <v>3.5294117647058823E-2</v>
      </c>
      <c r="I31" s="24">
        <f t="shared" ref="I31:K31" si="8">((F31*1.678)*1000)</f>
        <v>48.161021087680354</v>
      </c>
      <c r="J31" s="25">
        <f t="shared" si="8"/>
        <v>55.498779134295226</v>
      </c>
      <c r="K31" s="26">
        <f t="shared" si="8"/>
        <v>59.223529411764702</v>
      </c>
      <c r="L31" s="29">
        <f t="shared" si="2"/>
        <v>54.294443211246765</v>
      </c>
      <c r="M31" s="35">
        <f t="shared" si="3"/>
        <v>5.6287291076021431</v>
      </c>
      <c r="N31" s="24">
        <f t="shared" ref="N31:P31" si="9">I31/500</f>
        <v>9.6322042175360709E-2</v>
      </c>
      <c r="O31" s="25">
        <f t="shared" si="9"/>
        <v>0.11099755826859045</v>
      </c>
      <c r="P31" s="26">
        <f t="shared" si="9"/>
        <v>0.11844705882352941</v>
      </c>
      <c r="Q31" s="29">
        <f t="shared" si="5"/>
        <v>0.10858888642249352</v>
      </c>
      <c r="R31" s="29">
        <f t="shared" si="6"/>
        <v>1.1257458215204286E-2</v>
      </c>
    </row>
    <row r="32" spans="2:30" ht="15.75" customHeight="1" x14ac:dyDescent="0.2">
      <c r="B32" s="29" t="s">
        <v>3</v>
      </c>
      <c r="C32" s="4">
        <v>94.4</v>
      </c>
      <c r="D32" s="14">
        <v>95.9</v>
      </c>
      <c r="E32" s="6">
        <v>101</v>
      </c>
      <c r="F32" s="24">
        <f t="shared" ref="F32:H32" si="10">((C32-66)/3615)</f>
        <v>7.8561549100968197E-3</v>
      </c>
      <c r="G32" s="25">
        <f t="shared" si="10"/>
        <v>8.2710926694329195E-3</v>
      </c>
      <c r="H32" s="30">
        <f t="shared" si="10"/>
        <v>9.6818810511756573E-3</v>
      </c>
      <c r="I32" s="24">
        <f t="shared" ref="I32:K32" si="11">((F32*1.678)*1000)</f>
        <v>13.182627939142462</v>
      </c>
      <c r="J32" s="25">
        <f t="shared" si="11"/>
        <v>13.878893499308438</v>
      </c>
      <c r="K32" s="26">
        <f t="shared" si="11"/>
        <v>16.246196403872752</v>
      </c>
      <c r="L32" s="29">
        <f t="shared" si="2"/>
        <v>14.435905947441219</v>
      </c>
      <c r="M32" s="35">
        <f t="shared" si="3"/>
        <v>1.605945231025526</v>
      </c>
      <c r="N32" s="24">
        <f t="shared" ref="N32:P32" si="12">I32/500</f>
        <v>2.6365255878284925E-2</v>
      </c>
      <c r="O32" s="25">
        <f t="shared" si="12"/>
        <v>2.7757786998616876E-2</v>
      </c>
      <c r="P32" s="26">
        <f t="shared" si="12"/>
        <v>3.2492392807745504E-2</v>
      </c>
      <c r="Q32" s="29">
        <f t="shared" si="5"/>
        <v>2.8871811894882433E-2</v>
      </c>
      <c r="R32" s="29">
        <f t="shared" si="6"/>
        <v>3.2118904620510522E-3</v>
      </c>
    </row>
    <row r="33" spans="2:20" ht="15.75" customHeight="1" x14ac:dyDescent="0.2">
      <c r="B33" s="29" t="s">
        <v>4</v>
      </c>
      <c r="C33" s="4">
        <v>41.1</v>
      </c>
      <c r="D33" s="14">
        <v>30.4</v>
      </c>
      <c r="E33" s="6">
        <v>14.8</v>
      </c>
      <c r="F33" s="24">
        <f t="shared" ref="F33:H33" si="13">((C33+270)/3745)</f>
        <v>8.3070761014686259E-2</v>
      </c>
      <c r="G33" s="25">
        <f t="shared" si="13"/>
        <v>8.0213618157543382E-2</v>
      </c>
      <c r="H33" s="30">
        <f t="shared" si="13"/>
        <v>7.6048064085447273E-2</v>
      </c>
      <c r="I33" s="24">
        <f t="shared" ref="I33:K33" si="14">((F33*1.678)*1000)</f>
        <v>139.39273698264353</v>
      </c>
      <c r="J33" s="25">
        <f t="shared" si="14"/>
        <v>134.59845126835779</v>
      </c>
      <c r="K33" s="26">
        <f t="shared" si="14"/>
        <v>127.6086515353805</v>
      </c>
      <c r="L33" s="29">
        <f t="shared" si="2"/>
        <v>133.86661326212726</v>
      </c>
      <c r="M33" s="35">
        <f t="shared" si="3"/>
        <v>5.9260321976531349</v>
      </c>
      <c r="N33" s="24">
        <f t="shared" ref="N33:P33" si="15">I33/500</f>
        <v>0.27878547396528708</v>
      </c>
      <c r="O33" s="25">
        <f t="shared" si="15"/>
        <v>0.26919690253671558</v>
      </c>
      <c r="P33" s="26">
        <f t="shared" si="15"/>
        <v>0.25521730307076101</v>
      </c>
      <c r="Q33" s="29">
        <f t="shared" si="5"/>
        <v>0.26773322652425452</v>
      </c>
      <c r="R33" s="29">
        <f t="shared" si="6"/>
        <v>1.1852064395306276E-2</v>
      </c>
    </row>
    <row r="34" spans="2:20" ht="15.75" customHeight="1" x14ac:dyDescent="0.2">
      <c r="B34" s="29" t="s">
        <v>5</v>
      </c>
      <c r="C34" s="4">
        <v>2.96</v>
      </c>
      <c r="D34" s="14">
        <v>7.04</v>
      </c>
      <c r="E34" s="6">
        <v>3.33</v>
      </c>
      <c r="F34" s="24" t="s">
        <v>73</v>
      </c>
      <c r="G34" s="25" t="s">
        <v>73</v>
      </c>
      <c r="H34" s="30" t="s">
        <v>73</v>
      </c>
      <c r="I34" s="24" t="s">
        <v>73</v>
      </c>
      <c r="J34" s="25" t="s">
        <v>73</v>
      </c>
      <c r="K34" s="26" t="s">
        <v>73</v>
      </c>
      <c r="L34" s="29" t="s">
        <v>73</v>
      </c>
      <c r="M34" s="35" t="s">
        <v>73</v>
      </c>
      <c r="N34" s="24" t="s">
        <v>73</v>
      </c>
      <c r="O34" s="25" t="s">
        <v>73</v>
      </c>
      <c r="P34" s="26" t="s">
        <v>73</v>
      </c>
      <c r="Q34" s="36" t="s">
        <v>73</v>
      </c>
      <c r="R34" s="37" t="s">
        <v>73</v>
      </c>
    </row>
    <row r="35" spans="2:20" ht="15.75" customHeight="1" x14ac:dyDescent="0.2">
      <c r="B35" s="29" t="s">
        <v>6</v>
      </c>
      <c r="C35" s="4">
        <v>161</v>
      </c>
      <c r="D35" s="14">
        <v>151</v>
      </c>
      <c r="E35" s="6">
        <v>147</v>
      </c>
      <c r="F35" s="24">
        <f t="shared" ref="F35:H35" si="16">((C35-14.3)/291.25)</f>
        <v>0.50369098712446347</v>
      </c>
      <c r="G35" s="25">
        <f t="shared" si="16"/>
        <v>0.46935622317596565</v>
      </c>
      <c r="H35" s="30">
        <f t="shared" si="16"/>
        <v>0.45562231759656646</v>
      </c>
      <c r="I35" s="24">
        <f t="shared" ref="I35:K35" si="17">((F35*1.678)*1000)</f>
        <v>845.19347639484965</v>
      </c>
      <c r="J35" s="25">
        <f t="shared" si="17"/>
        <v>787.5797424892703</v>
      </c>
      <c r="K35" s="26">
        <f t="shared" si="17"/>
        <v>764.53424892703845</v>
      </c>
      <c r="L35" s="29">
        <f t="shared" ref="L35:L42" si="18">AVERAGE(I35:K35)</f>
        <v>799.10248927038617</v>
      </c>
      <c r="M35" s="35">
        <f t="shared" ref="M35:M42" si="19">_xlfn.STDEV.S(I35:K35)</f>
        <v>41.54585435350095</v>
      </c>
      <c r="N35" s="24">
        <f t="shared" ref="N35:P35" si="20">I35/500</f>
        <v>1.6903869527896993</v>
      </c>
      <c r="O35" s="25">
        <f t="shared" si="20"/>
        <v>1.5751594849785406</v>
      </c>
      <c r="P35" s="26">
        <f t="shared" si="20"/>
        <v>1.5290684978540769</v>
      </c>
      <c r="Q35" s="29">
        <f t="shared" ref="Q35:Q42" si="21">AVERAGE(N35:P35)</f>
        <v>1.5982049785407721</v>
      </c>
      <c r="R35" s="29">
        <f t="shared" ref="R35:R42" si="22">_xlfn.STDEV.S(N35:P35)</f>
        <v>8.3091708707001874E-2</v>
      </c>
    </row>
    <row r="36" spans="2:20" ht="15.75" customHeight="1" x14ac:dyDescent="0.2">
      <c r="B36" s="29" t="s">
        <v>7</v>
      </c>
      <c r="C36" s="4">
        <v>919</v>
      </c>
      <c r="D36" s="14">
        <v>566</v>
      </c>
      <c r="E36" s="6">
        <v>527</v>
      </c>
      <c r="F36" s="24">
        <f t="shared" ref="F36:H36" si="23">((C36+216.4)/1731.5)</f>
        <v>0.65573202425642507</v>
      </c>
      <c r="G36" s="25">
        <f t="shared" si="23"/>
        <v>0.45186254692463179</v>
      </c>
      <c r="H36" s="30">
        <f t="shared" si="23"/>
        <v>0.42933872365001441</v>
      </c>
      <c r="I36" s="24">
        <f t="shared" ref="I36:K36" si="24">((F36*1.678)*1000)</f>
        <v>1100.3183367022814</v>
      </c>
      <c r="J36" s="25">
        <f t="shared" si="24"/>
        <v>758.22535373953212</v>
      </c>
      <c r="K36" s="26">
        <f t="shared" si="24"/>
        <v>720.43037828472416</v>
      </c>
      <c r="L36" s="29">
        <f t="shared" si="18"/>
        <v>859.65802290884585</v>
      </c>
      <c r="M36" s="35">
        <f t="shared" si="19"/>
        <v>209.27291993655948</v>
      </c>
      <c r="N36" s="24">
        <f t="shared" ref="N36:P36" si="25">I36/500</f>
        <v>2.2006366734045626</v>
      </c>
      <c r="O36" s="25">
        <f t="shared" si="25"/>
        <v>1.5164507074790643</v>
      </c>
      <c r="P36" s="26">
        <f t="shared" si="25"/>
        <v>1.4408607565694482</v>
      </c>
      <c r="Q36" s="29">
        <f t="shared" si="21"/>
        <v>1.7193160458176919</v>
      </c>
      <c r="R36" s="29">
        <f t="shared" si="22"/>
        <v>0.41854583987311678</v>
      </c>
      <c r="T36" s="30" t="s">
        <v>73</v>
      </c>
    </row>
    <row r="37" spans="2:20" ht="15.75" customHeight="1" x14ac:dyDescent="0.2">
      <c r="B37" s="29" t="s">
        <v>8</v>
      </c>
      <c r="C37" s="4">
        <v>-0.379</v>
      </c>
      <c r="D37" s="14">
        <v>2.59</v>
      </c>
      <c r="E37" s="6">
        <v>2.57</v>
      </c>
      <c r="F37" s="24">
        <f t="shared" ref="F37:H37" si="26">((C37+6.57)/57.375)</f>
        <v>0.1079041394335512</v>
      </c>
      <c r="G37" s="25">
        <f t="shared" si="26"/>
        <v>0.15965141612200437</v>
      </c>
      <c r="H37" s="30">
        <f t="shared" si="26"/>
        <v>0.15930283224400874</v>
      </c>
      <c r="I37" s="24">
        <f t="shared" ref="I37:K37" si="27">((F37*1.678)*1000)</f>
        <v>181.06314596949892</v>
      </c>
      <c r="J37" s="25">
        <f t="shared" si="27"/>
        <v>267.8950762527233</v>
      </c>
      <c r="K37" s="26">
        <f t="shared" si="27"/>
        <v>267.31015250544664</v>
      </c>
      <c r="L37" s="29">
        <f t="shared" si="18"/>
        <v>238.75612490922296</v>
      </c>
      <c r="M37" s="35">
        <f t="shared" si="19"/>
        <v>49.964441337336318</v>
      </c>
      <c r="N37" s="24">
        <f t="shared" ref="N37:P37" si="28">I37/500</f>
        <v>0.36212629193899781</v>
      </c>
      <c r="O37" s="25">
        <f t="shared" si="28"/>
        <v>0.53579015250544659</v>
      </c>
      <c r="P37" s="26">
        <f t="shared" si="28"/>
        <v>0.5346203050108933</v>
      </c>
      <c r="Q37" s="29">
        <f t="shared" si="21"/>
        <v>0.47751224981844587</v>
      </c>
      <c r="R37" s="29">
        <f t="shared" si="22"/>
        <v>9.9928882674672634E-2</v>
      </c>
    </row>
    <row r="38" spans="2:20" ht="15.75" customHeight="1" x14ac:dyDescent="0.2">
      <c r="B38" s="29" t="s">
        <v>9</v>
      </c>
      <c r="C38" s="4">
        <v>19.3</v>
      </c>
      <c r="D38" s="14">
        <v>19.600000000000001</v>
      </c>
      <c r="E38" s="6">
        <v>12.6</v>
      </c>
      <c r="F38" s="24">
        <f t="shared" ref="F38:H38" si="29">((C38-3.7)/460.75)</f>
        <v>3.3857840477482366E-2</v>
      </c>
      <c r="G38" s="25">
        <f t="shared" si="29"/>
        <v>3.4508952794357034E-2</v>
      </c>
      <c r="H38" s="30">
        <f t="shared" si="29"/>
        <v>1.9316332067281602E-2</v>
      </c>
      <c r="I38" s="24">
        <f t="shared" ref="I38:K38" si="30">((F38*1.678)*1000)</f>
        <v>56.813456321215405</v>
      </c>
      <c r="J38" s="25">
        <f t="shared" si="30"/>
        <v>57.906022788931104</v>
      </c>
      <c r="K38" s="26">
        <f t="shared" si="30"/>
        <v>32.412805208898526</v>
      </c>
      <c r="L38" s="29">
        <f t="shared" si="18"/>
        <v>49.044094773015011</v>
      </c>
      <c r="M38" s="35">
        <f t="shared" si="19"/>
        <v>14.413475285152851</v>
      </c>
      <c r="N38" s="24">
        <f t="shared" ref="N38:P38" si="31">I38/500</f>
        <v>0.11362691264243081</v>
      </c>
      <c r="O38" s="25">
        <f t="shared" si="31"/>
        <v>0.1158120455778622</v>
      </c>
      <c r="P38" s="26">
        <f t="shared" si="31"/>
        <v>6.4825610417797053E-2</v>
      </c>
      <c r="Q38" s="29">
        <f t="shared" si="21"/>
        <v>9.8088189546030033E-2</v>
      </c>
      <c r="R38" s="29">
        <f t="shared" si="22"/>
        <v>2.882695057030564E-2</v>
      </c>
    </row>
    <row r="39" spans="2:20" ht="15.75" customHeight="1" x14ac:dyDescent="0.2">
      <c r="B39" s="29" t="s">
        <v>10</v>
      </c>
      <c r="C39" s="4">
        <v>4620</v>
      </c>
      <c r="D39" s="14">
        <v>2990</v>
      </c>
      <c r="E39" s="6">
        <v>3030</v>
      </c>
      <c r="F39" s="24">
        <f t="shared" ref="F39:H39" si="32">((C39-266)/2460)</f>
        <v>1.769918699186992</v>
      </c>
      <c r="G39" s="25">
        <f t="shared" si="32"/>
        <v>1.1073170731707318</v>
      </c>
      <c r="H39" s="30">
        <f t="shared" si="32"/>
        <v>1.1235772357723577</v>
      </c>
      <c r="I39" s="24">
        <f t="shared" ref="I39:K39" si="33">((F39*1.678)*1000)</f>
        <v>2969.9235772357724</v>
      </c>
      <c r="J39" s="25">
        <f t="shared" si="33"/>
        <v>1858.078048780488</v>
      </c>
      <c r="K39" s="26">
        <f t="shared" si="33"/>
        <v>1885.3626016260162</v>
      </c>
      <c r="L39" s="29">
        <f t="shared" si="18"/>
        <v>2237.7880758807587</v>
      </c>
      <c r="M39" s="35">
        <f t="shared" si="19"/>
        <v>634.19469089883171</v>
      </c>
      <c r="N39" s="24">
        <f t="shared" ref="N39:P39" si="34">I39/500</f>
        <v>5.9398471544715452</v>
      </c>
      <c r="O39" s="25">
        <f t="shared" si="34"/>
        <v>3.716156097560976</v>
      </c>
      <c r="P39" s="26">
        <f t="shared" si="34"/>
        <v>3.7707252032520322</v>
      </c>
      <c r="Q39" s="29">
        <f t="shared" si="21"/>
        <v>4.4755761517615182</v>
      </c>
      <c r="R39" s="29">
        <f t="shared" si="22"/>
        <v>1.2683893817976588</v>
      </c>
    </row>
    <row r="40" spans="2:20" ht="15.75" customHeight="1" x14ac:dyDescent="0.2">
      <c r="B40" s="29" t="s">
        <v>11</v>
      </c>
      <c r="C40" s="4">
        <v>5040</v>
      </c>
      <c r="D40" s="14">
        <v>5300</v>
      </c>
      <c r="E40" s="6">
        <v>5560</v>
      </c>
      <c r="F40" s="24">
        <f t="shared" ref="F40:H40" si="35">((C40+320)/40600)</f>
        <v>0.13201970443349753</v>
      </c>
      <c r="G40" s="25">
        <f t="shared" si="35"/>
        <v>0.13842364532019705</v>
      </c>
      <c r="H40" s="30">
        <f t="shared" si="35"/>
        <v>0.14482758620689656</v>
      </c>
      <c r="I40" s="24">
        <f t="shared" ref="I40:K40" si="36">((F40*1.678)*1000)</f>
        <v>221.52906403940884</v>
      </c>
      <c r="J40" s="25">
        <f t="shared" si="36"/>
        <v>232.27487684729064</v>
      </c>
      <c r="K40" s="26">
        <f t="shared" si="36"/>
        <v>243.02068965517242</v>
      </c>
      <c r="L40" s="29">
        <f t="shared" si="18"/>
        <v>232.27487684729064</v>
      </c>
      <c r="M40" s="35">
        <f t="shared" si="19"/>
        <v>10.745812807881791</v>
      </c>
      <c r="N40" s="24">
        <f t="shared" ref="N40:P40" si="37">I40/500</f>
        <v>0.44305812807881767</v>
      </c>
      <c r="O40" s="25">
        <f t="shared" si="37"/>
        <v>0.46454975369458129</v>
      </c>
      <c r="P40" s="26">
        <f t="shared" si="37"/>
        <v>0.48604137931034486</v>
      </c>
      <c r="Q40" s="29">
        <f t="shared" si="21"/>
        <v>0.46454975369458129</v>
      </c>
      <c r="R40" s="29">
        <f t="shared" si="22"/>
        <v>2.1491625615763593E-2</v>
      </c>
    </row>
    <row r="41" spans="2:20" ht="15.75" customHeight="1" x14ac:dyDescent="0.2">
      <c r="B41" s="29" t="s">
        <v>12</v>
      </c>
      <c r="C41" s="4">
        <v>361</v>
      </c>
      <c r="D41" s="14">
        <v>351</v>
      </c>
      <c r="E41" s="6">
        <v>336</v>
      </c>
      <c r="F41" s="24">
        <f t="shared" ref="F41:H41" si="38">((C41-9)/2897.5)</f>
        <v>0.12148403796376187</v>
      </c>
      <c r="G41" s="25">
        <f t="shared" si="38"/>
        <v>0.11803278688524591</v>
      </c>
      <c r="H41" s="30">
        <f t="shared" si="38"/>
        <v>0.11285591026747196</v>
      </c>
      <c r="I41" s="24">
        <f t="shared" ref="I41:K41" si="39">((F41*1.678)*1000)</f>
        <v>203.85021570319239</v>
      </c>
      <c r="J41" s="25">
        <f t="shared" si="39"/>
        <v>198.05901639344262</v>
      </c>
      <c r="K41" s="26">
        <f t="shared" si="39"/>
        <v>189.37221742881798</v>
      </c>
      <c r="L41" s="29">
        <f t="shared" si="18"/>
        <v>197.09381650848434</v>
      </c>
      <c r="M41" s="35">
        <f t="shared" si="19"/>
        <v>7.2870993283774954</v>
      </c>
      <c r="N41" s="24">
        <f t="shared" ref="N41:P41" si="40">I41/500</f>
        <v>0.40770043140638479</v>
      </c>
      <c r="O41" s="25">
        <f t="shared" si="40"/>
        <v>0.39611803278688523</v>
      </c>
      <c r="P41" s="26">
        <f t="shared" si="40"/>
        <v>0.37874443485763593</v>
      </c>
      <c r="Q41" s="29">
        <f t="shared" si="21"/>
        <v>0.39418763301696863</v>
      </c>
      <c r="R41" s="29">
        <f t="shared" si="22"/>
        <v>1.457419865675501E-2</v>
      </c>
    </row>
    <row r="42" spans="2:20" ht="15.75" customHeight="1" x14ac:dyDescent="0.2">
      <c r="B42" s="29" t="s">
        <v>13</v>
      </c>
      <c r="C42" s="4">
        <v>15100</v>
      </c>
      <c r="D42" s="14">
        <v>15600</v>
      </c>
      <c r="E42" s="6">
        <v>16000</v>
      </c>
      <c r="F42" s="24">
        <f t="shared" ref="F42:H42" si="41">((C42-10.2)/224.5)</f>
        <v>67.215144766146992</v>
      </c>
      <c r="G42" s="25">
        <f t="shared" si="41"/>
        <v>69.442316258351894</v>
      </c>
      <c r="H42" s="30">
        <f t="shared" si="41"/>
        <v>71.224053452115811</v>
      </c>
      <c r="I42" s="24">
        <f t="shared" ref="I42:K42" si="42">((F42*1.678)*1000)</f>
        <v>112787.01291759465</v>
      </c>
      <c r="J42" s="25">
        <f t="shared" si="42"/>
        <v>116524.20668151446</v>
      </c>
      <c r="K42" s="26">
        <f t="shared" si="42"/>
        <v>119513.96169265032</v>
      </c>
      <c r="L42" s="29">
        <f t="shared" si="18"/>
        <v>116275.06043058647</v>
      </c>
      <c r="M42" s="35">
        <f t="shared" si="19"/>
        <v>3370.3880112413403</v>
      </c>
      <c r="N42" s="24">
        <f t="shared" ref="N42:P42" si="43">I42/500</f>
        <v>225.5740258351893</v>
      </c>
      <c r="O42" s="25">
        <f t="shared" si="43"/>
        <v>233.04841336302894</v>
      </c>
      <c r="P42" s="26">
        <f t="shared" si="43"/>
        <v>239.02792338530065</v>
      </c>
      <c r="Q42" s="29">
        <f t="shared" si="21"/>
        <v>232.55012086117299</v>
      </c>
      <c r="R42" s="29">
        <f t="shared" si="22"/>
        <v>6.7407760224826836</v>
      </c>
    </row>
    <row r="43" spans="2:20" ht="15.75" customHeight="1" x14ac:dyDescent="0.2">
      <c r="B43" s="29" t="s">
        <v>30</v>
      </c>
      <c r="C43" s="4">
        <v>7.04</v>
      </c>
      <c r="D43" s="14">
        <v>2.59</v>
      </c>
      <c r="E43" s="6">
        <v>5.19</v>
      </c>
      <c r="F43" s="24" t="s">
        <v>73</v>
      </c>
      <c r="G43" s="25" t="s">
        <v>73</v>
      </c>
      <c r="H43" s="30" t="s">
        <v>73</v>
      </c>
      <c r="I43" s="24" t="s">
        <v>73</v>
      </c>
      <c r="J43" s="25" t="s">
        <v>73</v>
      </c>
      <c r="K43" s="26" t="s">
        <v>73</v>
      </c>
      <c r="L43" s="29" t="s">
        <v>73</v>
      </c>
      <c r="M43" s="35" t="s">
        <v>73</v>
      </c>
      <c r="N43" s="24" t="s">
        <v>73</v>
      </c>
      <c r="O43" s="25" t="s">
        <v>73</v>
      </c>
      <c r="P43" s="26" t="s">
        <v>73</v>
      </c>
      <c r="Q43" s="36" t="s">
        <v>73</v>
      </c>
      <c r="R43" s="37" t="s">
        <v>73</v>
      </c>
    </row>
    <row r="44" spans="2:20" ht="15.75" customHeight="1" x14ac:dyDescent="0.2">
      <c r="B44" s="29" t="s">
        <v>31</v>
      </c>
      <c r="C44" s="4">
        <v>535000</v>
      </c>
      <c r="D44" s="14">
        <v>558000</v>
      </c>
      <c r="E44" s="6">
        <v>571000</v>
      </c>
      <c r="F44" s="24">
        <f t="shared" ref="F44:H44" si="44">((C44-91)/4897.5)</f>
        <v>109.22082695252679</v>
      </c>
      <c r="G44" s="25">
        <f t="shared" si="44"/>
        <v>113.91710056151098</v>
      </c>
      <c r="H44" s="30">
        <f t="shared" si="44"/>
        <v>116.57151607963246</v>
      </c>
      <c r="I44" s="24">
        <f t="shared" ref="I44:K44" si="45">((F44*1.678)*1000)</f>
        <v>183272.54762633995</v>
      </c>
      <c r="J44" s="25">
        <f t="shared" si="45"/>
        <v>191152.8947422154</v>
      </c>
      <c r="K44" s="26">
        <f t="shared" si="45"/>
        <v>195607.00398162325</v>
      </c>
      <c r="L44" s="29">
        <f t="shared" ref="L44:L48" si="46">AVERAGE(I44:K44)</f>
        <v>190010.81545005951</v>
      </c>
      <c r="M44" s="35">
        <f t="shared" ref="M44:M48" si="47">_xlfn.STDEV.S(I44:K44)</f>
        <v>6246.0357209413696</v>
      </c>
      <c r="N44" s="24">
        <f t="shared" ref="N44:P44" si="48">I44/500</f>
        <v>366.54509525267991</v>
      </c>
      <c r="O44" s="25">
        <f t="shared" si="48"/>
        <v>382.30578948443082</v>
      </c>
      <c r="P44" s="26">
        <f t="shared" si="48"/>
        <v>391.2140079632465</v>
      </c>
      <c r="Q44" s="29">
        <f t="shared" ref="Q44:Q48" si="49">AVERAGE(N44:P44)</f>
        <v>380.02163090011908</v>
      </c>
      <c r="R44" s="29">
        <f t="shared" ref="R44:R48" si="50">_xlfn.STDEV.S(N44:P44)</f>
        <v>12.492071441882734</v>
      </c>
    </row>
    <row r="45" spans="2:20" ht="15.75" customHeight="1" x14ac:dyDescent="0.2">
      <c r="B45" s="29" t="s">
        <v>32</v>
      </c>
      <c r="C45" s="4">
        <v>10000</v>
      </c>
      <c r="D45" s="14">
        <v>10700</v>
      </c>
      <c r="E45" s="6">
        <v>11100</v>
      </c>
      <c r="F45" s="24">
        <f t="shared" ref="F45:H45" si="51">((C45-66)/2645)</f>
        <v>3.7557655954631382</v>
      </c>
      <c r="G45" s="25">
        <f t="shared" si="51"/>
        <v>4.0204158790170128</v>
      </c>
      <c r="H45" s="30">
        <f t="shared" si="51"/>
        <v>4.1716446124763706</v>
      </c>
      <c r="I45" s="24">
        <f t="shared" ref="I45:K45" si="52">((F45*1.678)*1000)</f>
        <v>6302.1746691871458</v>
      </c>
      <c r="J45" s="25">
        <f t="shared" si="52"/>
        <v>6746.2578449905468</v>
      </c>
      <c r="K45" s="26">
        <f t="shared" si="52"/>
        <v>7000.0196597353497</v>
      </c>
      <c r="L45" s="29">
        <f t="shared" si="46"/>
        <v>6682.8173913043474</v>
      </c>
      <c r="M45" s="35">
        <f t="shared" si="47"/>
        <v>353.22149719579471</v>
      </c>
      <c r="N45" s="24">
        <f t="shared" ref="N45:P45" si="53">I45/500</f>
        <v>12.604349338374291</v>
      </c>
      <c r="O45" s="25">
        <f t="shared" si="53"/>
        <v>13.492515689981094</v>
      </c>
      <c r="P45" s="26">
        <f t="shared" si="53"/>
        <v>14.0000393194707</v>
      </c>
      <c r="Q45" s="29">
        <f t="shared" si="49"/>
        <v>13.365634782608694</v>
      </c>
      <c r="R45" s="29">
        <f t="shared" si="50"/>
        <v>0.70644299439158975</v>
      </c>
    </row>
    <row r="46" spans="2:20" ht="15.75" customHeight="1" x14ac:dyDescent="0.2">
      <c r="B46" s="29" t="s">
        <v>33</v>
      </c>
      <c r="C46" s="4">
        <v>5150000</v>
      </c>
      <c r="D46" s="14">
        <v>5410000</v>
      </c>
      <c r="E46" s="6">
        <v>5520000</v>
      </c>
      <c r="F46" s="24">
        <f t="shared" ref="F46:H46" si="54">((C46-232)/3435)</f>
        <v>1499.2046579330422</v>
      </c>
      <c r="G46" s="25">
        <f t="shared" si="54"/>
        <v>1574.8960698689957</v>
      </c>
      <c r="H46" s="30">
        <f t="shared" si="54"/>
        <v>1606.9193595342067</v>
      </c>
      <c r="I46" s="24">
        <f t="shared" ref="I46:K46" si="55">((F46*1.678)*1000)</f>
        <v>2515665.4160116445</v>
      </c>
      <c r="J46" s="25">
        <f t="shared" si="55"/>
        <v>2642675.6052401746</v>
      </c>
      <c r="K46" s="26">
        <f t="shared" si="55"/>
        <v>2696410.6852983986</v>
      </c>
      <c r="L46" s="29">
        <f t="shared" si="46"/>
        <v>2618250.5688500726</v>
      </c>
      <c r="M46" s="35">
        <f t="shared" si="47"/>
        <v>92815.138282387241</v>
      </c>
      <c r="N46" s="24">
        <f t="shared" ref="N46:P46" si="56">I46/500</f>
        <v>5031.3308320232891</v>
      </c>
      <c r="O46" s="25">
        <f t="shared" si="56"/>
        <v>5285.3512104803494</v>
      </c>
      <c r="P46" s="26">
        <f t="shared" si="56"/>
        <v>5392.8213705967974</v>
      </c>
      <c r="Q46" s="29">
        <f t="shared" si="49"/>
        <v>5236.5011377001456</v>
      </c>
      <c r="R46" s="29">
        <f t="shared" si="50"/>
        <v>185.63027656477459</v>
      </c>
    </row>
    <row r="47" spans="2:20" ht="15.75" customHeight="1" x14ac:dyDescent="0.2">
      <c r="B47" s="29" t="s">
        <v>34</v>
      </c>
      <c r="C47" s="4">
        <v>25.2</v>
      </c>
      <c r="D47" s="14">
        <v>50</v>
      </c>
      <c r="E47" s="6">
        <v>63.7</v>
      </c>
      <c r="F47" s="24">
        <f t="shared" ref="F47:H47" si="57">((C47+1.061)/7.7025)</f>
        <v>3.4094125283998702</v>
      </c>
      <c r="G47" s="25">
        <f t="shared" si="57"/>
        <v>6.6291463810451159</v>
      </c>
      <c r="H47" s="30">
        <f t="shared" si="57"/>
        <v>8.4077896786757549</v>
      </c>
      <c r="I47" s="24">
        <f t="shared" ref="I47:K47" si="58">((F47*1.678)*1000)</f>
        <v>5720.994222654982</v>
      </c>
      <c r="J47" s="25">
        <f t="shared" si="58"/>
        <v>11123.707627393704</v>
      </c>
      <c r="K47" s="26">
        <f t="shared" si="58"/>
        <v>14108.271080817916</v>
      </c>
      <c r="L47" s="29">
        <f t="shared" si="46"/>
        <v>10317.6576436222</v>
      </c>
      <c r="M47" s="35">
        <f t="shared" si="47"/>
        <v>4251.3398718665658</v>
      </c>
      <c r="N47" s="24">
        <f t="shared" ref="N47:P47" si="59">I47/500</f>
        <v>11.441988445309963</v>
      </c>
      <c r="O47" s="25">
        <f t="shared" si="59"/>
        <v>22.247415254787406</v>
      </c>
      <c r="P47" s="26">
        <f t="shared" si="59"/>
        <v>28.216542161635832</v>
      </c>
      <c r="Q47" s="29">
        <f t="shared" si="49"/>
        <v>20.635315287244399</v>
      </c>
      <c r="R47" s="29">
        <f t="shared" si="50"/>
        <v>8.5026797437331254</v>
      </c>
    </row>
    <row r="48" spans="2:20" ht="15.75" customHeight="1" x14ac:dyDescent="0.2">
      <c r="B48" s="29" t="s">
        <v>74</v>
      </c>
      <c r="C48" s="4">
        <v>0.74099999999999999</v>
      </c>
      <c r="D48" s="14">
        <v>2.96</v>
      </c>
      <c r="E48" s="6">
        <v>4.07</v>
      </c>
      <c r="F48" s="24">
        <f t="shared" ref="F48:H48" si="60">((C48+0.8)/588.5)</f>
        <v>2.6185216652506371E-3</v>
      </c>
      <c r="G48" s="25">
        <f t="shared" si="60"/>
        <v>6.3891248937977905E-3</v>
      </c>
      <c r="H48" s="30">
        <f t="shared" si="60"/>
        <v>8.2752761257434155E-3</v>
      </c>
      <c r="I48" s="24">
        <f t="shared" ref="I48:K48" si="61">((F48*1.678)*1000)</f>
        <v>4.3938793542905685</v>
      </c>
      <c r="J48" s="25">
        <f t="shared" si="61"/>
        <v>10.720951571792693</v>
      </c>
      <c r="K48" s="26">
        <f t="shared" si="61"/>
        <v>13.885913338997451</v>
      </c>
      <c r="L48" s="29">
        <f t="shared" si="46"/>
        <v>9.6669147550269034</v>
      </c>
      <c r="M48" s="35">
        <f t="shared" si="47"/>
        <v>4.833003465758213</v>
      </c>
      <c r="N48" s="24">
        <f t="shared" ref="N48:P48" si="62">I48/500</f>
        <v>8.7877587085811379E-3</v>
      </c>
      <c r="O48" s="25">
        <f t="shared" si="62"/>
        <v>2.1441903143585385E-2</v>
      </c>
      <c r="P48" s="26">
        <f t="shared" si="62"/>
        <v>2.7771826677994903E-2</v>
      </c>
      <c r="Q48" s="29">
        <f t="shared" si="49"/>
        <v>1.9333829510053809E-2</v>
      </c>
      <c r="R48" s="29">
        <f t="shared" si="50"/>
        <v>9.6660069315164313E-3</v>
      </c>
    </row>
    <row r="49" spans="2:18" ht="15.75" customHeight="1" x14ac:dyDescent="0.2">
      <c r="B49" s="29" t="s">
        <v>75</v>
      </c>
      <c r="C49" s="4">
        <v>5.56</v>
      </c>
      <c r="D49" s="14">
        <v>4.07</v>
      </c>
      <c r="E49" s="6">
        <v>2.2200000000000002</v>
      </c>
      <c r="F49" s="24" t="s">
        <v>73</v>
      </c>
      <c r="G49" s="25" t="s">
        <v>73</v>
      </c>
      <c r="H49" s="30" t="s">
        <v>73</v>
      </c>
      <c r="I49" s="24" t="s">
        <v>73</v>
      </c>
      <c r="J49" s="25" t="s">
        <v>73</v>
      </c>
      <c r="K49" s="26" t="s">
        <v>73</v>
      </c>
      <c r="L49" s="29" t="s">
        <v>73</v>
      </c>
      <c r="M49" s="35" t="s">
        <v>73</v>
      </c>
      <c r="N49" s="24" t="s">
        <v>73</v>
      </c>
      <c r="O49" s="25" t="s">
        <v>73</v>
      </c>
      <c r="P49" s="26" t="s">
        <v>73</v>
      </c>
      <c r="Q49" s="36" t="s">
        <v>73</v>
      </c>
      <c r="R49" s="37" t="s">
        <v>73</v>
      </c>
    </row>
    <row r="50" spans="2:18" ht="15.75" customHeight="1" x14ac:dyDescent="0.2">
      <c r="B50" s="29" t="s">
        <v>76</v>
      </c>
      <c r="C50" s="4">
        <v>0</v>
      </c>
      <c r="D50" s="14">
        <v>1.1100000000000001</v>
      </c>
      <c r="E50" s="6">
        <v>2.96</v>
      </c>
      <c r="F50" s="24">
        <f t="shared" ref="F50:H50" si="63">((C50+75.6)/1005.5)</f>
        <v>7.5186474390850314E-2</v>
      </c>
      <c r="G50" s="25">
        <f t="shared" si="63"/>
        <v>7.6290402784684228E-2</v>
      </c>
      <c r="H50" s="30">
        <f t="shared" si="63"/>
        <v>7.8130283441074075E-2</v>
      </c>
      <c r="I50" s="24">
        <f t="shared" ref="I50:K50" si="64">((F50*1.678)*1000)</f>
        <v>126.16290402784684</v>
      </c>
      <c r="J50" s="25">
        <f t="shared" si="64"/>
        <v>128.01529587270014</v>
      </c>
      <c r="K50" s="26">
        <f t="shared" si="64"/>
        <v>131.1026156141223</v>
      </c>
      <c r="L50" s="29">
        <f t="shared" ref="L50:L51" si="65">AVERAGE(I50:K50)</f>
        <v>128.42693850488976</v>
      </c>
      <c r="M50" s="35">
        <f t="shared" ref="M50:M51" si="66">_xlfn.STDEV.S(I50:K50)</f>
        <v>2.4954508372983462</v>
      </c>
      <c r="N50" s="24">
        <f t="shared" ref="N50:P50" si="67">I50/500</f>
        <v>0.25232580805569366</v>
      </c>
      <c r="O50" s="25">
        <f t="shared" si="67"/>
        <v>0.25603059174540027</v>
      </c>
      <c r="P50" s="26">
        <f t="shared" si="67"/>
        <v>0.26220523122824457</v>
      </c>
      <c r="Q50" s="29">
        <f t="shared" ref="Q50:Q51" si="68">AVERAGE(N50:P50)</f>
        <v>0.25685387700977952</v>
      </c>
      <c r="R50" s="29">
        <f t="shared" ref="R50:R51" si="69">_xlfn.STDEV.S(N50:P50)</f>
        <v>4.9909016745966839E-3</v>
      </c>
    </row>
    <row r="51" spans="2:18" ht="15.75" customHeight="1" x14ac:dyDescent="0.2">
      <c r="B51" s="29" t="s">
        <v>77</v>
      </c>
      <c r="C51" s="4">
        <v>79.599999999999994</v>
      </c>
      <c r="D51" s="14">
        <v>17.399999999999999</v>
      </c>
      <c r="E51" s="6">
        <v>10</v>
      </c>
      <c r="F51" s="24">
        <f t="shared" ref="F51:H51" si="70">((C51+2160)/34750)</f>
        <v>6.4448920863309347E-2</v>
      </c>
      <c r="G51" s="25">
        <f t="shared" si="70"/>
        <v>6.2658992805755404E-2</v>
      </c>
      <c r="H51" s="30">
        <f t="shared" si="70"/>
        <v>6.2446043165467625E-2</v>
      </c>
      <c r="I51" s="24">
        <f t="shared" ref="I51:K51" si="71">((F51*1.678)*1000)</f>
        <v>108.14528920863307</v>
      </c>
      <c r="J51" s="25">
        <f t="shared" si="71"/>
        <v>105.14178992805756</v>
      </c>
      <c r="K51" s="26">
        <f t="shared" si="71"/>
        <v>104.78446043165467</v>
      </c>
      <c r="L51" s="29">
        <f t="shared" si="65"/>
        <v>106.02384652278177</v>
      </c>
      <c r="M51" s="35">
        <f t="shared" si="66"/>
        <v>1.8458901360221551</v>
      </c>
      <c r="N51" s="24">
        <f t="shared" ref="N51:P51" si="72">I51/500</f>
        <v>0.21629057841726615</v>
      </c>
      <c r="O51" s="25">
        <f t="shared" si="72"/>
        <v>0.21028357985611512</v>
      </c>
      <c r="P51" s="26">
        <f t="shared" si="72"/>
        <v>0.20956892086330933</v>
      </c>
      <c r="Q51" s="29">
        <f t="shared" si="68"/>
        <v>0.21204769304556356</v>
      </c>
      <c r="R51" s="29">
        <f t="shared" si="69"/>
        <v>3.691780272044312E-3</v>
      </c>
    </row>
    <row r="52" spans="2:18" ht="15.75" customHeight="1" x14ac:dyDescent="0.2">
      <c r="B52" s="29" t="s">
        <v>78</v>
      </c>
      <c r="C52" s="4">
        <v>10.7</v>
      </c>
      <c r="D52" s="14">
        <v>17</v>
      </c>
      <c r="E52" s="6">
        <v>10.7</v>
      </c>
      <c r="F52" s="24" t="s">
        <v>73</v>
      </c>
      <c r="G52" s="25" t="s">
        <v>73</v>
      </c>
      <c r="H52" s="30" t="s">
        <v>73</v>
      </c>
      <c r="I52" s="24" t="s">
        <v>73</v>
      </c>
      <c r="J52" s="25" t="s">
        <v>73</v>
      </c>
      <c r="K52" s="26" t="s">
        <v>73</v>
      </c>
      <c r="L52" s="29" t="s">
        <v>73</v>
      </c>
      <c r="M52" s="35" t="s">
        <v>73</v>
      </c>
      <c r="N52" s="24" t="s">
        <v>73</v>
      </c>
      <c r="O52" s="25" t="s">
        <v>73</v>
      </c>
      <c r="P52" s="26" t="s">
        <v>73</v>
      </c>
      <c r="Q52" s="36" t="s">
        <v>73</v>
      </c>
      <c r="R52" s="37" t="s">
        <v>73</v>
      </c>
    </row>
    <row r="53" spans="2:18" ht="15.75" customHeight="1" x14ac:dyDescent="0.2">
      <c r="B53" s="20" t="s">
        <v>79</v>
      </c>
      <c r="C53" s="7">
        <v>302</v>
      </c>
      <c r="D53" s="19">
        <v>457</v>
      </c>
      <c r="E53" s="38">
        <v>628</v>
      </c>
      <c r="F53" s="21">
        <f t="shared" ref="F53:H53" si="73">((C53+1300)/16425)</f>
        <v>9.7534246575342459E-2</v>
      </c>
      <c r="G53" s="22">
        <f t="shared" si="73"/>
        <v>0.10697108066971081</v>
      </c>
      <c r="H53" s="39">
        <f t="shared" si="73"/>
        <v>0.1173820395738204</v>
      </c>
      <c r="I53" s="21">
        <f t="shared" ref="I53:K53" si="74">((F53*1.678)*1000)</f>
        <v>163.66246575342464</v>
      </c>
      <c r="J53" s="22">
        <f t="shared" si="74"/>
        <v>179.49747336377473</v>
      </c>
      <c r="K53" s="23">
        <f t="shared" si="74"/>
        <v>196.96706240487063</v>
      </c>
      <c r="L53" s="20">
        <f>AVERAGE(I53:K53)</f>
        <v>180.04233384069002</v>
      </c>
      <c r="M53" s="27">
        <f>_xlfn.STDEV.S(I53:K53)</f>
        <v>16.658982388890237</v>
      </c>
      <c r="N53" s="21">
        <f t="shared" ref="N53:P53" si="75">I53/500</f>
        <v>0.32732493150684927</v>
      </c>
      <c r="O53" s="22">
        <f t="shared" si="75"/>
        <v>0.35899494672754945</v>
      </c>
      <c r="P53" s="23">
        <f t="shared" si="75"/>
        <v>0.39393412480974127</v>
      </c>
      <c r="Q53" s="20">
        <f>AVERAGE(N53:P53)</f>
        <v>0.36008466768137998</v>
      </c>
      <c r="R53" s="20">
        <f>_xlfn.STDEV.S(N53:P53)</f>
        <v>3.3317964777780484E-2</v>
      </c>
    </row>
    <row r="54" spans="2:18" ht="15.75" customHeight="1" x14ac:dyDescent="0.2"/>
    <row r="55" spans="2:18" ht="15.75" customHeight="1" x14ac:dyDescent="0.2"/>
    <row r="56" spans="2:18" ht="15.75" customHeight="1" x14ac:dyDescent="0.2"/>
    <row r="57" spans="2:18" ht="15.75" customHeight="1" x14ac:dyDescent="0.2"/>
    <row r="58" spans="2:18" ht="15.75" customHeight="1" x14ac:dyDescent="0.2"/>
    <row r="59" spans="2:18" ht="15.75" customHeight="1" x14ac:dyDescent="0.2"/>
    <row r="60" spans="2:18" ht="15.75" customHeight="1" x14ac:dyDescent="0.2">
      <c r="B60" s="121" t="s">
        <v>80</v>
      </c>
      <c r="C60" s="122"/>
      <c r="D60" s="123"/>
    </row>
    <row r="61" spans="2:18" ht="15.75" customHeight="1" x14ac:dyDescent="0.2">
      <c r="B61" s="40" t="s">
        <v>56</v>
      </c>
      <c r="C61" s="41" t="s">
        <v>81</v>
      </c>
      <c r="D61" s="41" t="s">
        <v>82</v>
      </c>
    </row>
    <row r="62" spans="2:18" ht="15.75" customHeight="1" x14ac:dyDescent="0.2">
      <c r="B62" s="40" t="s">
        <v>1</v>
      </c>
      <c r="C62" s="42">
        <v>0.83333333333333315</v>
      </c>
      <c r="D62" s="42">
        <v>0.24742945122465385</v>
      </c>
    </row>
    <row r="63" spans="2:18" ht="15.75" customHeight="1" x14ac:dyDescent="0.2">
      <c r="B63" s="40" t="s">
        <v>2</v>
      </c>
      <c r="C63" s="42">
        <v>0.10858888642249352</v>
      </c>
      <c r="D63" s="42">
        <v>1.1257458215204286E-2</v>
      </c>
    </row>
    <row r="64" spans="2:18" ht="15.75" customHeight="1" x14ac:dyDescent="0.2">
      <c r="B64" s="40" t="s">
        <v>3</v>
      </c>
      <c r="C64" s="42">
        <v>2.8871811894882433E-2</v>
      </c>
      <c r="D64" s="42">
        <v>3.2118904620510522E-3</v>
      </c>
    </row>
    <row r="65" spans="2:4" ht="15.75" customHeight="1" x14ac:dyDescent="0.2">
      <c r="B65" s="40" t="s">
        <v>4</v>
      </c>
      <c r="C65" s="42">
        <v>0.26773322652425452</v>
      </c>
      <c r="D65" s="42">
        <v>1.1852064395306276E-2</v>
      </c>
    </row>
    <row r="66" spans="2:4" ht="15.75" customHeight="1" x14ac:dyDescent="0.2">
      <c r="B66" s="40" t="s">
        <v>5</v>
      </c>
      <c r="C66" s="42" t="s">
        <v>73</v>
      </c>
      <c r="D66" s="42" t="s">
        <v>73</v>
      </c>
    </row>
    <row r="67" spans="2:4" ht="15.75" customHeight="1" x14ac:dyDescent="0.2">
      <c r="B67" s="40" t="s">
        <v>6</v>
      </c>
      <c r="C67" s="42">
        <v>1.5982049785407721</v>
      </c>
      <c r="D67" s="42">
        <v>8.3091708707001874E-2</v>
      </c>
    </row>
    <row r="68" spans="2:4" ht="15.75" customHeight="1" x14ac:dyDescent="0.2">
      <c r="B68" s="40" t="s">
        <v>7</v>
      </c>
      <c r="C68" s="42">
        <v>1.7193160458176919</v>
      </c>
      <c r="D68" s="42">
        <v>0.41854583987311678</v>
      </c>
    </row>
    <row r="69" spans="2:4" ht="15.75" customHeight="1" x14ac:dyDescent="0.2">
      <c r="B69" s="40" t="s">
        <v>8</v>
      </c>
      <c r="C69" s="42">
        <v>0.47751224981844587</v>
      </c>
      <c r="D69" s="42">
        <v>9.9928882674672634E-2</v>
      </c>
    </row>
    <row r="70" spans="2:4" ht="15.75" customHeight="1" x14ac:dyDescent="0.2">
      <c r="B70" s="40" t="s">
        <v>9</v>
      </c>
      <c r="C70" s="42">
        <v>9.8088189546030033E-2</v>
      </c>
      <c r="D70" s="42">
        <v>2.882695057030564E-2</v>
      </c>
    </row>
    <row r="71" spans="2:4" ht="15.75" customHeight="1" x14ac:dyDescent="0.2">
      <c r="B71" s="40" t="s">
        <v>10</v>
      </c>
      <c r="C71" s="42">
        <v>4.4755761517615182</v>
      </c>
      <c r="D71" s="42">
        <v>1.2683893817976588</v>
      </c>
    </row>
    <row r="72" spans="2:4" ht="15.75" customHeight="1" x14ac:dyDescent="0.2">
      <c r="B72" s="40" t="s">
        <v>11</v>
      </c>
      <c r="C72" s="42">
        <v>0.46454975369458129</v>
      </c>
      <c r="D72" s="42">
        <v>2.1491625615763593E-2</v>
      </c>
    </row>
    <row r="73" spans="2:4" ht="15.75" customHeight="1" x14ac:dyDescent="0.2">
      <c r="B73" s="40" t="s">
        <v>12</v>
      </c>
      <c r="C73" s="42">
        <v>0.39418763301696863</v>
      </c>
      <c r="D73" s="42">
        <v>1.457419865675501E-2</v>
      </c>
    </row>
    <row r="74" spans="2:4" ht="15.75" customHeight="1" x14ac:dyDescent="0.2">
      <c r="B74" s="40" t="s">
        <v>13</v>
      </c>
      <c r="C74" s="42">
        <v>232.55012086117299</v>
      </c>
      <c r="D74" s="42">
        <v>6.7407760224826836</v>
      </c>
    </row>
    <row r="75" spans="2:4" ht="15.75" customHeight="1" x14ac:dyDescent="0.2">
      <c r="B75" s="40" t="s">
        <v>30</v>
      </c>
      <c r="C75" s="42" t="s">
        <v>73</v>
      </c>
      <c r="D75" s="42" t="s">
        <v>73</v>
      </c>
    </row>
    <row r="76" spans="2:4" ht="15.75" customHeight="1" x14ac:dyDescent="0.2">
      <c r="B76" s="40" t="s">
        <v>31</v>
      </c>
      <c r="C76" s="42">
        <v>380.02163090011908</v>
      </c>
      <c r="D76" s="42">
        <v>12.492071441882734</v>
      </c>
    </row>
    <row r="77" spans="2:4" ht="15.75" customHeight="1" x14ac:dyDescent="0.2">
      <c r="B77" s="40" t="s">
        <v>32</v>
      </c>
      <c r="C77" s="42">
        <v>13.365634782608694</v>
      </c>
      <c r="D77" s="42">
        <v>0.70644299439158975</v>
      </c>
    </row>
    <row r="78" spans="2:4" ht="15.75" customHeight="1" x14ac:dyDescent="0.2">
      <c r="B78" s="40" t="s">
        <v>33</v>
      </c>
      <c r="C78" s="42">
        <v>5236.5011377001456</v>
      </c>
      <c r="D78" s="42">
        <v>185.63027656477459</v>
      </c>
    </row>
    <row r="79" spans="2:4" ht="15.75" customHeight="1" x14ac:dyDescent="0.2">
      <c r="B79" s="40" t="s">
        <v>34</v>
      </c>
      <c r="C79" s="42">
        <v>20.635315287244399</v>
      </c>
      <c r="D79" s="42">
        <v>8.5026797437331254</v>
      </c>
    </row>
    <row r="80" spans="2:4" ht="15" customHeight="1" x14ac:dyDescent="0.2">
      <c r="B80" s="40" t="s">
        <v>35</v>
      </c>
      <c r="C80" s="42">
        <v>1.9333829510053809E-2</v>
      </c>
      <c r="D80" s="42">
        <v>9.6660069315164313E-3</v>
      </c>
    </row>
    <row r="81" spans="2:4" ht="15" customHeight="1" x14ac:dyDescent="0.2">
      <c r="B81" s="40" t="s">
        <v>36</v>
      </c>
      <c r="C81" s="42" t="s">
        <v>73</v>
      </c>
      <c r="D81" s="42" t="s">
        <v>73</v>
      </c>
    </row>
    <row r="82" spans="2:4" ht="15" customHeight="1" x14ac:dyDescent="0.2">
      <c r="B82" s="40" t="s">
        <v>37</v>
      </c>
      <c r="C82" s="42">
        <v>0.25685387700977952</v>
      </c>
      <c r="D82" s="42">
        <v>4.9909016745966839E-3</v>
      </c>
    </row>
    <row r="83" spans="2:4" ht="15.75" customHeight="1" x14ac:dyDescent="0.2">
      <c r="B83" s="40" t="s">
        <v>38</v>
      </c>
      <c r="C83" s="42">
        <v>0.21204769304556356</v>
      </c>
      <c r="D83" s="42">
        <v>3.691780272044312E-3</v>
      </c>
    </row>
    <row r="84" spans="2:4" ht="15.75" customHeight="1" x14ac:dyDescent="0.2">
      <c r="B84" s="40" t="s">
        <v>39</v>
      </c>
      <c r="C84" s="42" t="s">
        <v>73</v>
      </c>
      <c r="D84" s="42" t="s">
        <v>73</v>
      </c>
    </row>
    <row r="85" spans="2:4" ht="15.75" customHeight="1" x14ac:dyDescent="0.2">
      <c r="B85" s="40" t="s">
        <v>40</v>
      </c>
      <c r="C85" s="42">
        <v>0.36008466768137998</v>
      </c>
      <c r="D85" s="42">
        <v>3.3317964777780484E-2</v>
      </c>
    </row>
    <row r="86" spans="2:4" ht="15.75" customHeight="1" x14ac:dyDescent="0.2"/>
    <row r="87" spans="2:4" ht="15.75" customHeight="1" x14ac:dyDescent="0.2"/>
    <row r="88" spans="2:4" ht="15.75" customHeight="1" x14ac:dyDescent="0.2"/>
    <row r="89" spans="2:4" ht="15.75" customHeight="1" x14ac:dyDescent="0.2"/>
    <row r="90" spans="2:4" ht="15.75" customHeight="1" x14ac:dyDescent="0.2"/>
    <row r="91" spans="2:4" ht="15.75" customHeight="1" x14ac:dyDescent="0.2"/>
    <row r="92" spans="2:4" ht="15.75" customHeight="1" x14ac:dyDescent="0.2"/>
    <row r="93" spans="2:4" ht="15.75" customHeight="1" x14ac:dyDescent="0.2"/>
    <row r="94" spans="2:4" ht="15.75" customHeight="1" x14ac:dyDescent="0.2"/>
    <row r="95" spans="2:4" ht="15.75" customHeight="1" x14ac:dyDescent="0.2"/>
    <row r="96" spans="2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8">
    <mergeCell ref="AC22:AD22"/>
    <mergeCell ref="AA10:AB10"/>
    <mergeCell ref="W15:X15"/>
    <mergeCell ref="Y15:Z15"/>
    <mergeCell ref="L22:M22"/>
    <mergeCell ref="N22:O22"/>
    <mergeCell ref="W22:X22"/>
    <mergeCell ref="Y22:Z22"/>
    <mergeCell ref="AA22:AB22"/>
    <mergeCell ref="P10:R10"/>
    <mergeCell ref="L10:M10"/>
    <mergeCell ref="N10:O10"/>
    <mergeCell ref="S10:T10"/>
    <mergeCell ref="U10:V10"/>
    <mergeCell ref="B10:C10"/>
    <mergeCell ref="D10:E10"/>
    <mergeCell ref="F10:G10"/>
    <mergeCell ref="H10:I10"/>
    <mergeCell ref="J10:K10"/>
    <mergeCell ref="B2:AB2"/>
    <mergeCell ref="B3:C3"/>
    <mergeCell ref="D3:E3"/>
    <mergeCell ref="F3:G3"/>
    <mergeCell ref="H3:I3"/>
    <mergeCell ref="J3:K3"/>
    <mergeCell ref="L3:M3"/>
    <mergeCell ref="AA3:AB3"/>
    <mergeCell ref="N3:O3"/>
    <mergeCell ref="P3:R3"/>
    <mergeCell ref="U22:V22"/>
    <mergeCell ref="S3:T3"/>
    <mergeCell ref="U3:V3"/>
    <mergeCell ref="W3:X3"/>
    <mergeCell ref="Y3:Z3"/>
    <mergeCell ref="W10:X10"/>
    <mergeCell ref="Y10:Z10"/>
    <mergeCell ref="P22:R22"/>
    <mergeCell ref="S22:T22"/>
    <mergeCell ref="J22:K22"/>
    <mergeCell ref="B28:R28"/>
    <mergeCell ref="B60:D60"/>
    <mergeCell ref="B22:C22"/>
    <mergeCell ref="D22:E22"/>
    <mergeCell ref="F22:G22"/>
    <mergeCell ref="H22:I22"/>
    <mergeCell ref="N15:O15"/>
    <mergeCell ref="P15:R15"/>
    <mergeCell ref="AA15:AB15"/>
    <mergeCell ref="AC15:AD15"/>
    <mergeCell ref="B14:AD14"/>
    <mergeCell ref="B15:C15"/>
    <mergeCell ref="D15:E15"/>
    <mergeCell ref="F15:G15"/>
    <mergeCell ref="H15:I15"/>
    <mergeCell ref="J15:K15"/>
    <mergeCell ref="L15:M15"/>
    <mergeCell ref="S15:T15"/>
    <mergeCell ref="U15:V1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workbookViewId="0"/>
  </sheetViews>
  <sheetFormatPr baseColWidth="10" defaultColWidth="11.1640625" defaultRowHeight="15" customHeight="1" x14ac:dyDescent="0.2"/>
  <cols>
    <col min="1" max="9" width="11" customWidth="1"/>
    <col min="10" max="10" width="15.1640625" customWidth="1"/>
    <col min="11" max="11" width="15.83203125" customWidth="1"/>
    <col min="12" max="13" width="14.83203125" customWidth="1"/>
    <col min="14" max="14" width="14" customWidth="1"/>
    <col min="15" max="15" width="12" customWidth="1"/>
    <col min="16" max="17" width="15.6640625" customWidth="1"/>
    <col min="18" max="26" width="11" customWidth="1"/>
  </cols>
  <sheetData>
    <row r="1" spans="2:17" ht="15.75" customHeight="1" x14ac:dyDescent="0.2"/>
    <row r="2" spans="2:17" ht="15.75" customHeight="1" x14ac:dyDescent="0.2"/>
    <row r="3" spans="2:17" ht="15.75" customHeight="1" x14ac:dyDescent="0.2">
      <c r="B3" s="117" t="s">
        <v>83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8"/>
    </row>
    <row r="4" spans="2:17" ht="15.75" customHeight="1" x14ac:dyDescent="0.2">
      <c r="B4" s="126" t="s">
        <v>84</v>
      </c>
      <c r="C4" s="127"/>
      <c r="D4" s="128"/>
      <c r="E4" s="126" t="s">
        <v>85</v>
      </c>
      <c r="F4" s="127"/>
      <c r="G4" s="128"/>
      <c r="H4" s="20" t="s">
        <v>86</v>
      </c>
      <c r="I4" s="27" t="s">
        <v>87</v>
      </c>
      <c r="J4" s="126" t="s">
        <v>84</v>
      </c>
      <c r="K4" s="127"/>
      <c r="L4" s="128"/>
      <c r="M4" s="126" t="s">
        <v>85</v>
      </c>
      <c r="N4" s="127"/>
      <c r="O4" s="128"/>
      <c r="P4" s="117" t="s">
        <v>86</v>
      </c>
      <c r="Q4" s="118"/>
    </row>
    <row r="5" spans="2:17" ht="15.75" customHeight="1" x14ac:dyDescent="0.2">
      <c r="B5" s="1" t="s">
        <v>88</v>
      </c>
      <c r="C5" s="43" t="s">
        <v>89</v>
      </c>
      <c r="D5" s="2" t="s">
        <v>90</v>
      </c>
      <c r="E5" s="1" t="s">
        <v>88</v>
      </c>
      <c r="F5" s="43" t="s">
        <v>89</v>
      </c>
      <c r="G5" s="2" t="s">
        <v>90</v>
      </c>
      <c r="H5" s="44" t="s">
        <v>91</v>
      </c>
      <c r="I5" s="10" t="s">
        <v>87</v>
      </c>
      <c r="J5" s="1" t="s">
        <v>92</v>
      </c>
      <c r="K5" s="43" t="s">
        <v>93</v>
      </c>
      <c r="L5" s="2" t="s">
        <v>94</v>
      </c>
      <c r="M5" s="1" t="s">
        <v>92</v>
      </c>
      <c r="N5" s="43" t="s">
        <v>93</v>
      </c>
      <c r="O5" s="2" t="s">
        <v>94</v>
      </c>
      <c r="P5" s="45" t="s">
        <v>95</v>
      </c>
      <c r="Q5" s="46" t="s">
        <v>87</v>
      </c>
    </row>
    <row r="6" spans="2:17" ht="15.75" customHeight="1" x14ac:dyDescent="0.2">
      <c r="B6" s="4">
        <v>1.5</v>
      </c>
      <c r="C6" s="47">
        <v>7.07</v>
      </c>
      <c r="D6" s="5">
        <f t="shared" ref="D6:D12" si="0">C6-B6</f>
        <v>5.57</v>
      </c>
      <c r="E6" s="4">
        <v>1.5</v>
      </c>
      <c r="F6" s="47">
        <v>6.9</v>
      </c>
      <c r="G6" s="5">
        <f t="shared" ref="G6:G12" si="1">F6-E6</f>
        <v>5.4</v>
      </c>
      <c r="H6" s="48">
        <f t="shared" ref="H6:H12" si="2">AVERAGE(D6,G6)</f>
        <v>5.4850000000000003</v>
      </c>
      <c r="I6" s="8">
        <f t="shared" ref="I6:I12" si="3">_xlfn.STDEV.S(D6,G6)</f>
        <v>0.12020815280171303</v>
      </c>
      <c r="J6" s="24">
        <v>18.23</v>
      </c>
      <c r="K6" s="25">
        <v>4.51</v>
      </c>
      <c r="L6" s="26">
        <f t="shared" ref="L6:L12" si="4">K6-J6</f>
        <v>-13.72</v>
      </c>
      <c r="M6" s="24">
        <v>18.23</v>
      </c>
      <c r="N6" s="25">
        <v>4.1500000000000004</v>
      </c>
      <c r="O6" s="26">
        <f t="shared" ref="O6:O12" si="5">N6-M6</f>
        <v>-14.08</v>
      </c>
      <c r="P6" s="26">
        <f t="shared" ref="P6:P12" si="6">AVERAGE(L6,O6)</f>
        <v>-13.9</v>
      </c>
      <c r="Q6" s="29">
        <f t="shared" ref="Q6:Q12" si="7">_xlfn.STDEV.S(L6,O6)</f>
        <v>0.25455844122715671</v>
      </c>
    </row>
    <row r="7" spans="2:17" ht="15.75" customHeight="1" x14ac:dyDescent="0.2">
      <c r="B7" s="4">
        <v>2.81</v>
      </c>
      <c r="C7" s="47">
        <v>8.8800000000000008</v>
      </c>
      <c r="D7" s="5">
        <f t="shared" si="0"/>
        <v>6.07</v>
      </c>
      <c r="E7" s="4">
        <v>2.81</v>
      </c>
      <c r="F7" s="47">
        <v>8.8800000000000008</v>
      </c>
      <c r="G7" s="5">
        <f t="shared" si="1"/>
        <v>6.07</v>
      </c>
      <c r="H7" s="48">
        <f t="shared" si="2"/>
        <v>6.07</v>
      </c>
      <c r="I7" s="8">
        <f t="shared" si="3"/>
        <v>0</v>
      </c>
      <c r="J7" s="24">
        <v>2.4900000000000002</v>
      </c>
      <c r="K7" s="25">
        <v>2.02</v>
      </c>
      <c r="L7" s="26">
        <f t="shared" si="4"/>
        <v>-0.4700000000000002</v>
      </c>
      <c r="M7" s="24">
        <v>2.4900000000000002</v>
      </c>
      <c r="N7" s="25">
        <v>1.96</v>
      </c>
      <c r="O7" s="26">
        <f t="shared" si="5"/>
        <v>-0.53000000000000025</v>
      </c>
      <c r="P7" s="26">
        <f t="shared" si="6"/>
        <v>-0.50000000000000022</v>
      </c>
      <c r="Q7" s="29">
        <f t="shared" si="7"/>
        <v>4.2426406871192889E-2</v>
      </c>
    </row>
    <row r="8" spans="2:17" ht="15.75" customHeight="1" x14ac:dyDescent="0.2">
      <c r="B8" s="4">
        <v>4.71</v>
      </c>
      <c r="C8" s="47">
        <v>9.58</v>
      </c>
      <c r="D8" s="5">
        <f t="shared" si="0"/>
        <v>4.87</v>
      </c>
      <c r="E8" s="4">
        <v>4.71</v>
      </c>
      <c r="F8" s="47">
        <v>9.3000000000000007</v>
      </c>
      <c r="G8" s="5">
        <f t="shared" si="1"/>
        <v>4.5900000000000007</v>
      </c>
      <c r="H8" s="48">
        <f t="shared" si="2"/>
        <v>4.7300000000000004</v>
      </c>
      <c r="I8" s="8">
        <f t="shared" si="3"/>
        <v>0.19798989873223286</v>
      </c>
      <c r="J8" s="24">
        <v>2.19</v>
      </c>
      <c r="K8" s="25">
        <v>1.59</v>
      </c>
      <c r="L8" s="26">
        <f t="shared" si="4"/>
        <v>-0.59999999999999987</v>
      </c>
      <c r="M8" s="24">
        <v>2.19</v>
      </c>
      <c r="N8" s="25">
        <v>1.61</v>
      </c>
      <c r="O8" s="26">
        <f t="shared" si="5"/>
        <v>-0.57999999999999985</v>
      </c>
      <c r="P8" s="26">
        <f t="shared" si="6"/>
        <v>-0.58999999999999986</v>
      </c>
      <c r="Q8" s="29">
        <f t="shared" si="7"/>
        <v>1.4142135623730963E-2</v>
      </c>
    </row>
    <row r="9" spans="2:17" ht="15.75" customHeight="1" x14ac:dyDescent="0.2">
      <c r="B9" s="4">
        <v>6.23</v>
      </c>
      <c r="C9" s="47">
        <v>9.85</v>
      </c>
      <c r="D9" s="5">
        <f t="shared" si="0"/>
        <v>3.6199999999999992</v>
      </c>
      <c r="E9" s="4">
        <v>6.23</v>
      </c>
      <c r="F9" s="47">
        <v>9.8000000000000007</v>
      </c>
      <c r="G9" s="5">
        <f t="shared" si="1"/>
        <v>3.5700000000000003</v>
      </c>
      <c r="H9" s="48">
        <f t="shared" si="2"/>
        <v>3.5949999999999998</v>
      </c>
      <c r="I9" s="8">
        <f t="shared" si="3"/>
        <v>3.535533905932662E-2</v>
      </c>
      <c r="J9" s="24">
        <v>0.91</v>
      </c>
      <c r="K9" s="25">
        <v>1.44</v>
      </c>
      <c r="L9" s="26">
        <f t="shared" si="4"/>
        <v>0.52999999999999992</v>
      </c>
      <c r="M9" s="24">
        <v>0.91</v>
      </c>
      <c r="N9" s="25">
        <v>1.42</v>
      </c>
      <c r="O9" s="26">
        <f t="shared" si="5"/>
        <v>0.5099999999999999</v>
      </c>
      <c r="P9" s="26">
        <f t="shared" si="6"/>
        <v>0.51999999999999991</v>
      </c>
      <c r="Q9" s="29">
        <f t="shared" si="7"/>
        <v>1.4142135623730963E-2</v>
      </c>
    </row>
    <row r="10" spans="2:17" ht="15.75" customHeight="1" x14ac:dyDescent="0.2">
      <c r="B10" s="4">
        <v>9.15</v>
      </c>
      <c r="C10" s="47">
        <v>9.81</v>
      </c>
      <c r="D10" s="5">
        <f t="shared" si="0"/>
        <v>0.66000000000000014</v>
      </c>
      <c r="E10" s="4">
        <v>9.15</v>
      </c>
      <c r="F10" s="47">
        <v>9.92</v>
      </c>
      <c r="G10" s="5">
        <f t="shared" si="1"/>
        <v>0.76999999999999957</v>
      </c>
      <c r="H10" s="48">
        <f t="shared" si="2"/>
        <v>0.71499999999999986</v>
      </c>
      <c r="I10" s="8">
        <f t="shared" si="3"/>
        <v>7.7781745930519827E-2</v>
      </c>
      <c r="J10" s="24">
        <v>1.25</v>
      </c>
      <c r="K10" s="25">
        <v>1.35</v>
      </c>
      <c r="L10" s="26">
        <f t="shared" si="4"/>
        <v>0.10000000000000009</v>
      </c>
      <c r="M10" s="24">
        <v>1.25</v>
      </c>
      <c r="N10" s="25">
        <v>1.34</v>
      </c>
      <c r="O10" s="26">
        <f t="shared" si="5"/>
        <v>9.000000000000008E-2</v>
      </c>
      <c r="P10" s="26">
        <f t="shared" si="6"/>
        <v>9.5000000000000084E-2</v>
      </c>
      <c r="Q10" s="29">
        <f t="shared" si="7"/>
        <v>7.0710678118654814E-3</v>
      </c>
    </row>
    <row r="11" spans="2:17" ht="15.75" customHeight="1" x14ac:dyDescent="0.2">
      <c r="B11" s="4">
        <v>11.46</v>
      </c>
      <c r="C11" s="47">
        <v>10.76</v>
      </c>
      <c r="D11" s="5">
        <f t="shared" si="0"/>
        <v>-0.70000000000000107</v>
      </c>
      <c r="E11" s="4">
        <v>11.46</v>
      </c>
      <c r="F11" s="47">
        <v>10.79</v>
      </c>
      <c r="G11" s="5">
        <f t="shared" si="1"/>
        <v>-0.67000000000000171</v>
      </c>
      <c r="H11" s="48">
        <f t="shared" si="2"/>
        <v>-0.68500000000000139</v>
      </c>
      <c r="I11" s="8">
        <f t="shared" si="3"/>
        <v>2.1213203435595972E-2</v>
      </c>
      <c r="J11" s="24">
        <v>3.31</v>
      </c>
      <c r="K11" s="25">
        <v>1.99</v>
      </c>
      <c r="L11" s="26">
        <f t="shared" si="4"/>
        <v>-1.32</v>
      </c>
      <c r="M11" s="24">
        <v>3.31</v>
      </c>
      <c r="N11" s="25">
        <v>2.04</v>
      </c>
      <c r="O11" s="26">
        <f t="shared" si="5"/>
        <v>-1.27</v>
      </c>
      <c r="P11" s="26">
        <f t="shared" si="6"/>
        <v>-1.2949999999999999</v>
      </c>
      <c r="Q11" s="29">
        <f t="shared" si="7"/>
        <v>3.5355339059327411E-2</v>
      </c>
    </row>
    <row r="12" spans="2:17" ht="15.75" customHeight="1" x14ac:dyDescent="0.2">
      <c r="B12" s="7">
        <v>12.65</v>
      </c>
      <c r="C12" s="49">
        <v>12.53</v>
      </c>
      <c r="D12" s="9">
        <f t="shared" si="0"/>
        <v>-0.12000000000000099</v>
      </c>
      <c r="E12" s="7">
        <v>12.65</v>
      </c>
      <c r="F12" s="49">
        <v>12.5</v>
      </c>
      <c r="G12" s="9">
        <f t="shared" si="1"/>
        <v>-0.15000000000000036</v>
      </c>
      <c r="H12" s="50">
        <f t="shared" si="2"/>
        <v>-0.13500000000000068</v>
      </c>
      <c r="I12" s="50">
        <f t="shared" si="3"/>
        <v>2.1213203435596076E-2</v>
      </c>
      <c r="J12" s="21">
        <v>14.09</v>
      </c>
      <c r="K12" s="22">
        <v>6.84</v>
      </c>
      <c r="L12" s="51">
        <f t="shared" si="4"/>
        <v>-7.25</v>
      </c>
      <c r="M12" s="21">
        <v>14.09</v>
      </c>
      <c r="N12" s="22">
        <v>7.22</v>
      </c>
      <c r="O12" s="51">
        <f t="shared" si="5"/>
        <v>-6.87</v>
      </c>
      <c r="P12" s="20">
        <f t="shared" si="6"/>
        <v>-7.0600000000000005</v>
      </c>
      <c r="Q12" s="20">
        <f t="shared" si="7"/>
        <v>0.268700576850888</v>
      </c>
    </row>
    <row r="13" spans="2:17" ht="15.75" customHeight="1" x14ac:dyDescent="0.2"/>
    <row r="14" spans="2:17" ht="15.75" customHeight="1" x14ac:dyDescent="0.2"/>
    <row r="15" spans="2:17" ht="15.75" customHeight="1" x14ac:dyDescent="0.2"/>
    <row r="16" spans="2:17" ht="15.75" customHeight="1" x14ac:dyDescent="0.2">
      <c r="B16" s="117" t="s">
        <v>96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8"/>
    </row>
    <row r="17" spans="2:17" ht="15.75" customHeight="1" x14ac:dyDescent="0.2">
      <c r="B17" s="126" t="s">
        <v>84</v>
      </c>
      <c r="C17" s="127"/>
      <c r="D17" s="128"/>
      <c r="E17" s="126" t="s">
        <v>85</v>
      </c>
      <c r="F17" s="127"/>
      <c r="G17" s="128"/>
      <c r="H17" s="20" t="s">
        <v>86</v>
      </c>
      <c r="I17" s="27" t="s">
        <v>87</v>
      </c>
      <c r="J17" s="126" t="s">
        <v>84</v>
      </c>
      <c r="K17" s="127"/>
      <c r="L17" s="128"/>
      <c r="M17" s="126" t="s">
        <v>85</v>
      </c>
      <c r="N17" s="127"/>
      <c r="O17" s="128"/>
      <c r="P17" s="117" t="s">
        <v>86</v>
      </c>
      <c r="Q17" s="118"/>
    </row>
    <row r="18" spans="2:17" ht="15.75" customHeight="1" x14ac:dyDescent="0.2">
      <c r="B18" s="1" t="s">
        <v>88</v>
      </c>
      <c r="C18" s="43" t="s">
        <v>89</v>
      </c>
      <c r="D18" s="2" t="s">
        <v>90</v>
      </c>
      <c r="E18" s="1" t="s">
        <v>88</v>
      </c>
      <c r="F18" s="43" t="s">
        <v>89</v>
      </c>
      <c r="G18" s="2" t="s">
        <v>90</v>
      </c>
      <c r="H18" s="44" t="s">
        <v>91</v>
      </c>
      <c r="I18" s="10" t="s">
        <v>87</v>
      </c>
      <c r="J18" s="1" t="s">
        <v>92</v>
      </c>
      <c r="K18" s="43" t="s">
        <v>93</v>
      </c>
      <c r="L18" s="2" t="s">
        <v>94</v>
      </c>
      <c r="M18" s="1" t="s">
        <v>92</v>
      </c>
      <c r="N18" s="43" t="s">
        <v>93</v>
      </c>
      <c r="O18" s="2" t="s">
        <v>94</v>
      </c>
      <c r="P18" s="45" t="s">
        <v>95</v>
      </c>
      <c r="Q18" s="46" t="s">
        <v>87</v>
      </c>
    </row>
    <row r="19" spans="2:17" ht="15.75" customHeight="1" x14ac:dyDescent="0.2">
      <c r="B19" s="4">
        <v>1.5</v>
      </c>
      <c r="C19" s="47">
        <v>8.2100000000000009</v>
      </c>
      <c r="D19" s="5">
        <f t="shared" ref="D19:D25" si="8">C19-B19</f>
        <v>6.7100000000000009</v>
      </c>
      <c r="E19" s="4">
        <v>1.5</v>
      </c>
      <c r="F19" s="47">
        <v>8.15</v>
      </c>
      <c r="G19" s="5">
        <f t="shared" ref="G19:G25" si="9">F19-E19</f>
        <v>6.65</v>
      </c>
      <c r="H19" s="48">
        <f t="shared" ref="H19:H25" si="10">AVERAGE(D19,G19)</f>
        <v>6.6800000000000006</v>
      </c>
      <c r="I19" s="8">
        <f t="shared" ref="I19:I25" si="11">_xlfn.STDEV.S(D19,G19)</f>
        <v>4.2426406871193201E-2</v>
      </c>
      <c r="J19" s="4">
        <v>18.23</v>
      </c>
      <c r="K19" s="47">
        <v>4.6500000000000004</v>
      </c>
      <c r="L19" s="5">
        <f t="shared" ref="L19:L25" si="12">K19-J19</f>
        <v>-13.58</v>
      </c>
      <c r="M19" s="4">
        <v>18.23</v>
      </c>
      <c r="N19" s="47">
        <v>4.71</v>
      </c>
      <c r="O19" s="5">
        <f t="shared" ref="O19:O25" si="13">N19-M19</f>
        <v>-13.52</v>
      </c>
      <c r="P19" s="5">
        <f t="shared" ref="P19:P25" si="14">AVERAGE(L19,O19)</f>
        <v>-13.55</v>
      </c>
      <c r="Q19" s="29">
        <f t="shared" ref="Q19:Q25" si="15">_xlfn.STDEV.S(L19,O19)</f>
        <v>4.2426406871193201E-2</v>
      </c>
    </row>
    <row r="20" spans="2:17" ht="15.75" customHeight="1" x14ac:dyDescent="0.2">
      <c r="B20" s="4">
        <v>2.81</v>
      </c>
      <c r="C20" s="47">
        <v>9.74</v>
      </c>
      <c r="D20" s="5">
        <f t="shared" si="8"/>
        <v>6.93</v>
      </c>
      <c r="E20" s="4">
        <v>2.81</v>
      </c>
      <c r="F20" s="47">
        <v>9.83</v>
      </c>
      <c r="G20" s="5">
        <f t="shared" si="9"/>
        <v>7.02</v>
      </c>
      <c r="H20" s="48">
        <f t="shared" si="10"/>
        <v>6.9749999999999996</v>
      </c>
      <c r="I20" s="8">
        <f t="shared" si="11"/>
        <v>6.3639610306789177E-2</v>
      </c>
      <c r="J20" s="4">
        <v>2.4900000000000002</v>
      </c>
      <c r="K20" s="47">
        <v>2.2999999999999998</v>
      </c>
      <c r="L20" s="5">
        <f t="shared" si="12"/>
        <v>-0.19000000000000039</v>
      </c>
      <c r="M20" s="4">
        <v>2.4900000000000002</v>
      </c>
      <c r="N20" s="47">
        <v>2.35</v>
      </c>
      <c r="O20" s="5">
        <f t="shared" si="13"/>
        <v>-0.14000000000000012</v>
      </c>
      <c r="P20" s="5">
        <f t="shared" si="14"/>
        <v>-0.16500000000000026</v>
      </c>
      <c r="Q20" s="29">
        <f t="shared" si="15"/>
        <v>3.5355339059327487E-2</v>
      </c>
    </row>
    <row r="21" spans="2:17" ht="15.75" customHeight="1" x14ac:dyDescent="0.2">
      <c r="B21" s="4">
        <v>4.71</v>
      </c>
      <c r="C21" s="47">
        <v>10.09</v>
      </c>
      <c r="D21" s="5">
        <f t="shared" si="8"/>
        <v>5.38</v>
      </c>
      <c r="E21" s="4">
        <v>4.71</v>
      </c>
      <c r="F21" s="47">
        <v>10.08</v>
      </c>
      <c r="G21" s="5">
        <f t="shared" si="9"/>
        <v>5.37</v>
      </c>
      <c r="H21" s="48">
        <f t="shared" si="10"/>
        <v>5.375</v>
      </c>
      <c r="I21" s="8">
        <f t="shared" si="11"/>
        <v>7.0710678118653244E-3</v>
      </c>
      <c r="J21" s="4">
        <v>2.19</v>
      </c>
      <c r="K21" s="47">
        <v>2.09</v>
      </c>
      <c r="L21" s="5">
        <f t="shared" si="12"/>
        <v>-0.10000000000000009</v>
      </c>
      <c r="M21" s="4">
        <v>2.19</v>
      </c>
      <c r="N21" s="47">
        <v>2.11</v>
      </c>
      <c r="O21" s="5">
        <f t="shared" si="13"/>
        <v>-8.0000000000000071E-2</v>
      </c>
      <c r="P21" s="5">
        <f t="shared" si="14"/>
        <v>-9.000000000000008E-2</v>
      </c>
      <c r="Q21" s="29">
        <f t="shared" si="15"/>
        <v>1.4142135623730907E-2</v>
      </c>
    </row>
    <row r="22" spans="2:17" ht="15.75" customHeight="1" x14ac:dyDescent="0.2">
      <c r="B22" s="4">
        <v>6.23</v>
      </c>
      <c r="C22" s="47">
        <v>10.130000000000001</v>
      </c>
      <c r="D22" s="5">
        <f t="shared" si="8"/>
        <v>3.9000000000000004</v>
      </c>
      <c r="E22" s="4">
        <v>6.23</v>
      </c>
      <c r="F22" s="47">
        <v>10.19</v>
      </c>
      <c r="G22" s="5">
        <f t="shared" si="9"/>
        <v>3.9599999999999991</v>
      </c>
      <c r="H22" s="48">
        <f t="shared" si="10"/>
        <v>3.9299999999999997</v>
      </c>
      <c r="I22" s="8">
        <f t="shared" si="11"/>
        <v>4.2426406871191945E-2</v>
      </c>
      <c r="J22" s="4">
        <v>0.91</v>
      </c>
      <c r="K22" s="47">
        <v>1.89</v>
      </c>
      <c r="L22" s="5">
        <f t="shared" si="12"/>
        <v>0.97999999999999987</v>
      </c>
      <c r="M22" s="4">
        <v>0.91</v>
      </c>
      <c r="N22" s="47">
        <v>2.0099999999999998</v>
      </c>
      <c r="O22" s="5">
        <f t="shared" si="13"/>
        <v>1.0999999999999996</v>
      </c>
      <c r="P22" s="5">
        <f t="shared" si="14"/>
        <v>1.0399999999999998</v>
      </c>
      <c r="Q22" s="29">
        <f t="shared" si="15"/>
        <v>8.4852813742385541E-2</v>
      </c>
    </row>
    <row r="23" spans="2:17" ht="15.75" customHeight="1" x14ac:dyDescent="0.2">
      <c r="B23" s="4">
        <v>9.15</v>
      </c>
      <c r="C23" s="47">
        <v>10.16</v>
      </c>
      <c r="D23" s="5">
        <f t="shared" si="8"/>
        <v>1.0099999999999998</v>
      </c>
      <c r="E23" s="4">
        <v>9.15</v>
      </c>
      <c r="F23" s="47">
        <v>10.19</v>
      </c>
      <c r="G23" s="5">
        <f t="shared" si="9"/>
        <v>1.0399999999999991</v>
      </c>
      <c r="H23" s="48">
        <f t="shared" si="10"/>
        <v>1.0249999999999995</v>
      </c>
      <c r="I23" s="8">
        <f t="shared" si="11"/>
        <v>2.1213203435595972E-2</v>
      </c>
      <c r="J23" s="4">
        <v>1.25</v>
      </c>
      <c r="K23" s="47">
        <v>1.89</v>
      </c>
      <c r="L23" s="5">
        <f t="shared" si="12"/>
        <v>0.6399999999999999</v>
      </c>
      <c r="M23" s="4">
        <v>1.25</v>
      </c>
      <c r="N23" s="47">
        <v>2.09</v>
      </c>
      <c r="O23" s="5">
        <f t="shared" si="13"/>
        <v>0.83999999999999986</v>
      </c>
      <c r="P23" s="5">
        <f t="shared" si="14"/>
        <v>0.73999999999999988</v>
      </c>
      <c r="Q23" s="29">
        <f t="shared" si="15"/>
        <v>0.14142135623730956</v>
      </c>
    </row>
    <row r="24" spans="2:17" ht="15.75" customHeight="1" x14ac:dyDescent="0.2">
      <c r="B24" s="4">
        <v>11.46</v>
      </c>
      <c r="C24" s="47">
        <v>10.91</v>
      </c>
      <c r="D24" s="5">
        <f t="shared" si="8"/>
        <v>-0.55000000000000071</v>
      </c>
      <c r="E24" s="4">
        <v>11.46</v>
      </c>
      <c r="F24" s="47">
        <v>10.97</v>
      </c>
      <c r="G24" s="5">
        <f t="shared" si="9"/>
        <v>-0.49000000000000021</v>
      </c>
      <c r="H24" s="48">
        <f t="shared" si="10"/>
        <v>-0.52000000000000046</v>
      </c>
      <c r="I24" s="8">
        <f t="shared" si="11"/>
        <v>4.2426406871193201E-2</v>
      </c>
      <c r="J24" s="4">
        <v>3.31</v>
      </c>
      <c r="K24" s="47">
        <v>2.5099999999999998</v>
      </c>
      <c r="L24" s="5">
        <f t="shared" si="12"/>
        <v>-0.80000000000000027</v>
      </c>
      <c r="M24" s="4">
        <v>3.31</v>
      </c>
      <c r="N24" s="47">
        <v>2.54</v>
      </c>
      <c r="O24" s="5">
        <f t="shared" si="13"/>
        <v>-0.77</v>
      </c>
      <c r="P24" s="5">
        <f t="shared" si="14"/>
        <v>-0.78500000000000014</v>
      </c>
      <c r="Q24" s="29">
        <f t="shared" si="15"/>
        <v>2.12132034355966E-2</v>
      </c>
    </row>
    <row r="25" spans="2:17" ht="15.75" customHeight="1" x14ac:dyDescent="0.2">
      <c r="B25" s="7">
        <v>12.65</v>
      </c>
      <c r="C25" s="49">
        <v>12.57</v>
      </c>
      <c r="D25" s="9">
        <f t="shared" si="8"/>
        <v>-8.0000000000000071E-2</v>
      </c>
      <c r="E25" s="7">
        <v>12.65</v>
      </c>
      <c r="F25" s="49">
        <v>12.59</v>
      </c>
      <c r="G25" s="9">
        <f t="shared" si="9"/>
        <v>-6.0000000000000497E-2</v>
      </c>
      <c r="H25" s="50">
        <f t="shared" si="10"/>
        <v>-7.0000000000000284E-2</v>
      </c>
      <c r="I25" s="50">
        <f t="shared" si="11"/>
        <v>1.4142135623730663E-2</v>
      </c>
      <c r="J25" s="7">
        <v>14.09</v>
      </c>
      <c r="K25" s="49">
        <v>8.2100000000000009</v>
      </c>
      <c r="L25" s="9">
        <f t="shared" si="12"/>
        <v>-5.879999999999999</v>
      </c>
      <c r="M25" s="7">
        <v>14.09</v>
      </c>
      <c r="N25" s="49">
        <v>8.5500000000000007</v>
      </c>
      <c r="O25" s="9">
        <f t="shared" si="13"/>
        <v>-5.5399999999999991</v>
      </c>
      <c r="P25" s="50">
        <f t="shared" si="14"/>
        <v>-5.7099999999999991</v>
      </c>
      <c r="Q25" s="20">
        <f t="shared" si="15"/>
        <v>0.24041630560342606</v>
      </c>
    </row>
    <row r="26" spans="2:17" ht="15.75" customHeight="1" x14ac:dyDescent="0.2"/>
    <row r="27" spans="2:17" ht="15.75" customHeight="1" x14ac:dyDescent="0.2"/>
    <row r="28" spans="2:17" ht="15.75" customHeight="1" x14ac:dyDescent="0.2"/>
    <row r="29" spans="2:17" ht="15.75" customHeight="1" x14ac:dyDescent="0.2">
      <c r="B29" s="117" t="s">
        <v>97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8"/>
    </row>
    <row r="30" spans="2:17" ht="15.75" customHeight="1" x14ac:dyDescent="0.2">
      <c r="B30" s="126" t="s">
        <v>84</v>
      </c>
      <c r="C30" s="127"/>
      <c r="D30" s="128"/>
      <c r="E30" s="126" t="s">
        <v>85</v>
      </c>
      <c r="F30" s="127"/>
      <c r="G30" s="128"/>
      <c r="H30" s="20" t="s">
        <v>86</v>
      </c>
      <c r="I30" s="27" t="s">
        <v>87</v>
      </c>
      <c r="J30" s="126" t="s">
        <v>84</v>
      </c>
      <c r="K30" s="127"/>
      <c r="L30" s="128"/>
      <c r="M30" s="126" t="s">
        <v>85</v>
      </c>
      <c r="N30" s="127"/>
      <c r="O30" s="128"/>
      <c r="P30" s="117" t="s">
        <v>86</v>
      </c>
      <c r="Q30" s="118"/>
    </row>
    <row r="31" spans="2:17" ht="15.75" customHeight="1" x14ac:dyDescent="0.2">
      <c r="B31" s="1" t="s">
        <v>88</v>
      </c>
      <c r="C31" s="43" t="s">
        <v>89</v>
      </c>
      <c r="D31" s="2" t="s">
        <v>90</v>
      </c>
      <c r="E31" s="1" t="s">
        <v>88</v>
      </c>
      <c r="F31" s="43" t="s">
        <v>89</v>
      </c>
      <c r="G31" s="2" t="s">
        <v>90</v>
      </c>
      <c r="H31" s="44" t="s">
        <v>91</v>
      </c>
      <c r="I31" s="10" t="s">
        <v>87</v>
      </c>
      <c r="J31" s="52" t="s">
        <v>92</v>
      </c>
      <c r="K31" s="53" t="s">
        <v>93</v>
      </c>
      <c r="L31" s="54" t="s">
        <v>94</v>
      </c>
      <c r="M31" s="53" t="s">
        <v>92</v>
      </c>
      <c r="N31" s="53" t="s">
        <v>93</v>
      </c>
      <c r="O31" s="54" t="s">
        <v>94</v>
      </c>
      <c r="P31" s="55" t="s">
        <v>95</v>
      </c>
      <c r="Q31" s="56" t="s">
        <v>87</v>
      </c>
    </row>
    <row r="32" spans="2:17" ht="15.75" customHeight="1" x14ac:dyDescent="0.2">
      <c r="B32" s="4">
        <v>1.5</v>
      </c>
      <c r="C32" s="47">
        <v>1.58</v>
      </c>
      <c r="D32" s="5">
        <f t="shared" ref="D32:D38" si="16">C32-B32</f>
        <v>8.0000000000000071E-2</v>
      </c>
      <c r="E32" s="4">
        <v>1.5</v>
      </c>
      <c r="F32" s="47">
        <v>1.58</v>
      </c>
      <c r="G32" s="5">
        <f t="shared" ref="G32:G38" si="17">F32-E32</f>
        <v>8.0000000000000071E-2</v>
      </c>
      <c r="H32" s="48">
        <f t="shared" ref="H32:H38" si="18">AVERAGE(D32,G32)</f>
        <v>8.0000000000000071E-2</v>
      </c>
      <c r="I32" s="8">
        <f t="shared" ref="I32:I38" si="19">_xlfn.STDEV.S(D32,G32)</f>
        <v>0</v>
      </c>
      <c r="J32" s="4">
        <v>18.23</v>
      </c>
      <c r="K32" s="47">
        <v>10.29</v>
      </c>
      <c r="L32" s="5">
        <f t="shared" ref="L32:L38" si="20">K32-J32</f>
        <v>-7.9400000000000013</v>
      </c>
      <c r="M32" s="4">
        <v>18.23</v>
      </c>
      <c r="N32" s="47">
        <v>10.18</v>
      </c>
      <c r="O32" s="5">
        <f t="shared" ref="O32:O38" si="21">N32-M32</f>
        <v>-8.0500000000000007</v>
      </c>
      <c r="P32" s="5">
        <f t="shared" ref="P32:P38" si="22">AVERAGE(L32,O32)</f>
        <v>-7.995000000000001</v>
      </c>
      <c r="Q32" s="29">
        <f t="shared" ref="Q32:Q38" si="23">_xlfn.STDEV.S(L32,O32)</f>
        <v>7.7781745930519827E-2</v>
      </c>
    </row>
    <row r="33" spans="2:17" ht="15.75" customHeight="1" x14ac:dyDescent="0.2">
      <c r="B33" s="4">
        <v>2.81</v>
      </c>
      <c r="C33" s="47">
        <v>7.24</v>
      </c>
      <c r="D33" s="5">
        <f t="shared" si="16"/>
        <v>4.43</v>
      </c>
      <c r="E33" s="4">
        <v>2.81</v>
      </c>
      <c r="F33" s="47">
        <v>7.22</v>
      </c>
      <c r="G33" s="5">
        <f t="shared" si="17"/>
        <v>4.41</v>
      </c>
      <c r="H33" s="48">
        <f t="shared" si="18"/>
        <v>4.42</v>
      </c>
      <c r="I33" s="8">
        <f t="shared" si="19"/>
        <v>1.4142135623730649E-2</v>
      </c>
      <c r="J33" s="4">
        <v>2.4900000000000002</v>
      </c>
      <c r="K33" s="47">
        <v>1.74</v>
      </c>
      <c r="L33" s="5">
        <f t="shared" si="20"/>
        <v>-0.75000000000000022</v>
      </c>
      <c r="M33" s="4">
        <v>2.4900000000000002</v>
      </c>
      <c r="N33" s="47">
        <v>1.74</v>
      </c>
      <c r="O33" s="5">
        <f t="shared" si="21"/>
        <v>-0.75000000000000022</v>
      </c>
      <c r="P33" s="5">
        <f t="shared" si="22"/>
        <v>-0.75000000000000022</v>
      </c>
      <c r="Q33" s="29">
        <f t="shared" si="23"/>
        <v>0</v>
      </c>
    </row>
    <row r="34" spans="2:17" ht="15.75" customHeight="1" x14ac:dyDescent="0.2">
      <c r="B34" s="4">
        <v>4.71</v>
      </c>
      <c r="C34" s="47">
        <v>8.6</v>
      </c>
      <c r="D34" s="5">
        <f t="shared" si="16"/>
        <v>3.8899999999999997</v>
      </c>
      <c r="E34" s="4">
        <v>4.71</v>
      </c>
      <c r="F34" s="47">
        <v>8.65</v>
      </c>
      <c r="G34" s="5">
        <f t="shared" si="17"/>
        <v>3.9400000000000004</v>
      </c>
      <c r="H34" s="48">
        <f t="shared" si="18"/>
        <v>3.915</v>
      </c>
      <c r="I34" s="8">
        <f t="shared" si="19"/>
        <v>3.5355339059327882E-2</v>
      </c>
      <c r="J34" s="4">
        <v>2.19</v>
      </c>
      <c r="K34" s="47">
        <v>1.42</v>
      </c>
      <c r="L34" s="5">
        <f t="shared" si="20"/>
        <v>-0.77</v>
      </c>
      <c r="M34" s="4">
        <v>2.19</v>
      </c>
      <c r="N34" s="47">
        <v>1.41</v>
      </c>
      <c r="O34" s="5">
        <f t="shared" si="21"/>
        <v>-0.78</v>
      </c>
      <c r="P34" s="5">
        <f t="shared" si="22"/>
        <v>-0.77500000000000002</v>
      </c>
      <c r="Q34" s="29">
        <f t="shared" si="23"/>
        <v>7.0710678118654814E-3</v>
      </c>
    </row>
    <row r="35" spans="2:17" ht="15.75" customHeight="1" x14ac:dyDescent="0.2">
      <c r="B35" s="4">
        <v>6.23</v>
      </c>
      <c r="C35" s="47">
        <v>8.3000000000000007</v>
      </c>
      <c r="D35" s="5">
        <f t="shared" si="16"/>
        <v>2.0700000000000003</v>
      </c>
      <c r="E35" s="4">
        <v>6.23</v>
      </c>
      <c r="F35" s="47">
        <v>8.7899999999999991</v>
      </c>
      <c r="G35" s="5">
        <f t="shared" si="17"/>
        <v>2.5599999999999987</v>
      </c>
      <c r="H35" s="48">
        <f t="shared" si="18"/>
        <v>2.3149999999999995</v>
      </c>
      <c r="I35" s="8">
        <f t="shared" si="19"/>
        <v>0.346482322781407</v>
      </c>
      <c r="J35" s="4">
        <v>0.91</v>
      </c>
      <c r="K35" s="47">
        <v>1.23</v>
      </c>
      <c r="L35" s="5">
        <f t="shared" si="20"/>
        <v>0.31999999999999995</v>
      </c>
      <c r="M35" s="4">
        <v>0.91</v>
      </c>
      <c r="N35" s="47">
        <v>1.22</v>
      </c>
      <c r="O35" s="5">
        <f t="shared" si="21"/>
        <v>0.30999999999999994</v>
      </c>
      <c r="P35" s="5">
        <f t="shared" si="22"/>
        <v>0.31499999999999995</v>
      </c>
      <c r="Q35" s="29">
        <f t="shared" si="23"/>
        <v>7.0710678118654814E-3</v>
      </c>
    </row>
    <row r="36" spans="2:17" ht="15.75" customHeight="1" x14ac:dyDescent="0.2">
      <c r="B36" s="4">
        <v>9.15</v>
      </c>
      <c r="C36" s="47">
        <v>8.8699999999999992</v>
      </c>
      <c r="D36" s="5">
        <f t="shared" si="16"/>
        <v>-0.28000000000000114</v>
      </c>
      <c r="E36" s="4">
        <v>9.15</v>
      </c>
      <c r="F36" s="47">
        <v>9.08</v>
      </c>
      <c r="G36" s="5">
        <f t="shared" si="17"/>
        <v>-7.0000000000000284E-2</v>
      </c>
      <c r="H36" s="48">
        <f t="shared" si="18"/>
        <v>-0.17500000000000071</v>
      </c>
      <c r="I36" s="8">
        <f t="shared" si="19"/>
        <v>0.14849242404917559</v>
      </c>
      <c r="J36" s="4">
        <v>1.25</v>
      </c>
      <c r="K36" s="47">
        <v>1.1499999999999999</v>
      </c>
      <c r="L36" s="5">
        <f t="shared" si="20"/>
        <v>-0.10000000000000009</v>
      </c>
      <c r="M36" s="4">
        <v>1.25</v>
      </c>
      <c r="N36" s="47">
        <v>1.1399999999999999</v>
      </c>
      <c r="O36" s="5">
        <f t="shared" si="21"/>
        <v>-0.1100000000000001</v>
      </c>
      <c r="P36" s="5">
        <f t="shared" si="22"/>
        <v>-0.10500000000000009</v>
      </c>
      <c r="Q36" s="29">
        <f t="shared" si="23"/>
        <v>7.0710678118654814E-3</v>
      </c>
    </row>
    <row r="37" spans="2:17" ht="15.75" customHeight="1" x14ac:dyDescent="0.2">
      <c r="B37" s="4">
        <v>11.46</v>
      </c>
      <c r="C37" s="47">
        <v>11.01</v>
      </c>
      <c r="D37" s="5">
        <f t="shared" si="16"/>
        <v>-0.45000000000000107</v>
      </c>
      <c r="E37" s="4">
        <v>11.46</v>
      </c>
      <c r="F37" s="47">
        <v>11.04</v>
      </c>
      <c r="G37" s="5">
        <f t="shared" si="17"/>
        <v>-0.42000000000000171</v>
      </c>
      <c r="H37" s="48">
        <f t="shared" si="18"/>
        <v>-0.43500000000000139</v>
      </c>
      <c r="I37" s="8">
        <f t="shared" si="19"/>
        <v>2.1213203435595972E-2</v>
      </c>
      <c r="J37" s="4">
        <v>3.31</v>
      </c>
      <c r="K37" s="47">
        <v>1.84</v>
      </c>
      <c r="L37" s="5">
        <f t="shared" si="20"/>
        <v>-1.47</v>
      </c>
      <c r="M37" s="4">
        <v>3.31</v>
      </c>
      <c r="N37" s="47">
        <v>1.88</v>
      </c>
      <c r="O37" s="5">
        <f t="shared" si="21"/>
        <v>-1.4300000000000002</v>
      </c>
      <c r="P37" s="5">
        <f t="shared" si="22"/>
        <v>-1.4500000000000002</v>
      </c>
      <c r="Q37" s="29">
        <f t="shared" si="23"/>
        <v>2.828427124746177E-2</v>
      </c>
    </row>
    <row r="38" spans="2:17" ht="15.75" customHeight="1" x14ac:dyDescent="0.2">
      <c r="B38" s="7">
        <v>12.65</v>
      </c>
      <c r="C38" s="49">
        <v>12.59</v>
      </c>
      <c r="D38" s="9">
        <f t="shared" si="16"/>
        <v>-6.0000000000000497E-2</v>
      </c>
      <c r="E38" s="7">
        <v>12.65</v>
      </c>
      <c r="F38" s="49">
        <v>12.62</v>
      </c>
      <c r="G38" s="9">
        <f t="shared" si="17"/>
        <v>-3.0000000000001137E-2</v>
      </c>
      <c r="H38" s="50">
        <f t="shared" si="18"/>
        <v>-4.5000000000000817E-2</v>
      </c>
      <c r="I38" s="50">
        <f t="shared" si="19"/>
        <v>2.1213203435595972E-2</v>
      </c>
      <c r="J38" s="7">
        <v>14.09</v>
      </c>
      <c r="K38" s="49">
        <v>8.1999999999999993</v>
      </c>
      <c r="L38" s="9">
        <f t="shared" si="20"/>
        <v>-5.8900000000000006</v>
      </c>
      <c r="M38" s="7">
        <v>14.09</v>
      </c>
      <c r="N38" s="49">
        <v>8.1999999999999993</v>
      </c>
      <c r="O38" s="9">
        <f t="shared" si="21"/>
        <v>-5.8900000000000006</v>
      </c>
      <c r="P38" s="50">
        <f t="shared" si="22"/>
        <v>-5.8900000000000006</v>
      </c>
      <c r="Q38" s="20">
        <f t="shared" si="23"/>
        <v>0</v>
      </c>
    </row>
    <row r="39" spans="2:17" ht="15.75" customHeight="1" x14ac:dyDescent="0.2"/>
    <row r="40" spans="2:17" ht="15.75" customHeight="1" x14ac:dyDescent="0.2"/>
    <row r="41" spans="2:17" ht="15.75" customHeight="1" x14ac:dyDescent="0.2"/>
    <row r="42" spans="2:17" ht="15.75" customHeight="1" x14ac:dyDescent="0.2"/>
    <row r="43" spans="2:17" ht="15.75" customHeight="1" x14ac:dyDescent="0.2"/>
    <row r="44" spans="2:17" ht="15.75" customHeight="1" x14ac:dyDescent="0.2"/>
    <row r="45" spans="2:17" ht="15.75" customHeight="1" x14ac:dyDescent="0.2"/>
    <row r="46" spans="2:17" ht="15.75" customHeight="1" x14ac:dyDescent="0.2"/>
    <row r="47" spans="2:17" ht="15.75" customHeight="1" x14ac:dyDescent="0.2"/>
    <row r="48" spans="2:1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B16:Q16"/>
    <mergeCell ref="E30:G30"/>
    <mergeCell ref="J30:L30"/>
    <mergeCell ref="M30:O30"/>
    <mergeCell ref="P30:Q30"/>
    <mergeCell ref="B17:D17"/>
    <mergeCell ref="E17:G17"/>
    <mergeCell ref="J17:L17"/>
    <mergeCell ref="M17:O17"/>
    <mergeCell ref="P17:Q17"/>
    <mergeCell ref="B29:Q29"/>
    <mergeCell ref="B30:D30"/>
    <mergeCell ref="B3:Q3"/>
    <mergeCell ref="B4:D4"/>
    <mergeCell ref="E4:G4"/>
    <mergeCell ref="J4:L4"/>
    <mergeCell ref="M4:O4"/>
    <mergeCell ref="P4:Q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986"/>
  <sheetViews>
    <sheetView workbookViewId="0"/>
  </sheetViews>
  <sheetFormatPr baseColWidth="10" defaultColWidth="11.1640625" defaultRowHeight="15" customHeight="1" x14ac:dyDescent="0.2"/>
  <cols>
    <col min="1" max="2" width="11" customWidth="1"/>
    <col min="3" max="3" width="11.33203125" customWidth="1"/>
    <col min="4" max="4" width="13.33203125" customWidth="1"/>
    <col min="5" max="5" width="20" customWidth="1"/>
    <col min="6" max="6" width="28" customWidth="1"/>
    <col min="7" max="7" width="21.33203125" customWidth="1"/>
    <col min="8" max="9" width="11" customWidth="1"/>
    <col min="10" max="10" width="23" customWidth="1"/>
    <col min="11" max="11" width="28.1640625" customWidth="1"/>
    <col min="12" max="14" width="11" customWidth="1"/>
    <col min="15" max="15" width="23.1640625" customWidth="1"/>
    <col min="16" max="16" width="32.83203125" customWidth="1"/>
    <col min="17" max="28" width="11" customWidth="1"/>
  </cols>
  <sheetData>
    <row r="1" spans="2:7" ht="15.75" customHeight="1" x14ac:dyDescent="0.2"/>
    <row r="2" spans="2:7" ht="15.75" customHeight="1" x14ac:dyDescent="0.2"/>
    <row r="3" spans="2:7" ht="15.75" customHeight="1" x14ac:dyDescent="0.2">
      <c r="B3" s="144" t="s">
        <v>98</v>
      </c>
      <c r="C3" s="119"/>
      <c r="D3" s="119"/>
      <c r="E3" s="119"/>
      <c r="F3" s="119"/>
      <c r="G3" s="118"/>
    </row>
    <row r="4" spans="2:7" ht="15.75" customHeight="1" x14ac:dyDescent="0.2">
      <c r="B4" s="144" t="s">
        <v>1</v>
      </c>
      <c r="C4" s="118"/>
      <c r="D4" s="144" t="s">
        <v>32</v>
      </c>
      <c r="E4" s="118"/>
      <c r="F4" s="144" t="s">
        <v>13</v>
      </c>
      <c r="G4" s="118"/>
    </row>
    <row r="5" spans="2:7" ht="15.75" customHeight="1" x14ac:dyDescent="0.2">
      <c r="B5" s="57" t="s">
        <v>14</v>
      </c>
      <c r="C5" s="58" t="s">
        <v>15</v>
      </c>
      <c r="D5" s="57" t="s">
        <v>14</v>
      </c>
      <c r="E5" s="58" t="s">
        <v>15</v>
      </c>
      <c r="F5" s="57" t="s">
        <v>14</v>
      </c>
      <c r="G5" s="58" t="s">
        <v>15</v>
      </c>
    </row>
    <row r="6" spans="2:7" ht="15.75" customHeight="1" x14ac:dyDescent="0.2">
      <c r="B6" s="59">
        <v>0.4</v>
      </c>
      <c r="C6" s="60">
        <v>5.19</v>
      </c>
      <c r="D6" s="59">
        <v>0.4</v>
      </c>
      <c r="E6" s="60">
        <v>275</v>
      </c>
      <c r="F6" s="59">
        <v>0.4</v>
      </c>
      <c r="G6" s="60">
        <v>20</v>
      </c>
    </row>
    <row r="7" spans="2:7" ht="15.75" customHeight="1" x14ac:dyDescent="0.2">
      <c r="B7" s="59">
        <v>0.8</v>
      </c>
      <c r="C7" s="60">
        <v>10</v>
      </c>
      <c r="D7" s="59">
        <v>0.8</v>
      </c>
      <c r="E7" s="60">
        <v>550</v>
      </c>
      <c r="F7" s="59">
        <v>0.8</v>
      </c>
      <c r="G7" s="60">
        <v>42.2</v>
      </c>
    </row>
    <row r="8" spans="2:7" ht="15.75" customHeight="1" x14ac:dyDescent="0.2">
      <c r="B8" s="59">
        <v>1.2</v>
      </c>
      <c r="C8" s="60">
        <v>13</v>
      </c>
      <c r="D8" s="59">
        <v>1.2</v>
      </c>
      <c r="E8" s="60">
        <v>812</v>
      </c>
      <c r="F8" s="59">
        <v>1.2</v>
      </c>
      <c r="G8" s="60">
        <v>53.3</v>
      </c>
    </row>
    <row r="9" spans="2:7" ht="15.75" customHeight="1" x14ac:dyDescent="0.2">
      <c r="B9" s="59">
        <v>1.6</v>
      </c>
      <c r="C9" s="60">
        <v>19.600000000000001</v>
      </c>
      <c r="D9" s="59">
        <v>1.6</v>
      </c>
      <c r="E9" s="60">
        <v>1130</v>
      </c>
      <c r="F9" s="59">
        <v>1.6</v>
      </c>
      <c r="G9" s="60"/>
    </row>
    <row r="10" spans="2:7" ht="15.75" customHeight="1" x14ac:dyDescent="0.2">
      <c r="B10" s="61">
        <v>2</v>
      </c>
      <c r="C10" s="60">
        <v>28.9</v>
      </c>
      <c r="D10" s="61">
        <v>2</v>
      </c>
      <c r="E10" s="60">
        <v>1390</v>
      </c>
      <c r="F10" s="61">
        <v>2</v>
      </c>
      <c r="G10" s="60">
        <v>78.900000000000006</v>
      </c>
    </row>
    <row r="11" spans="2:7" ht="15.75" customHeight="1" x14ac:dyDescent="0.2">
      <c r="B11" s="145" t="s">
        <v>99</v>
      </c>
      <c r="C11" s="118"/>
      <c r="D11" s="145" t="s">
        <v>100</v>
      </c>
      <c r="E11" s="118"/>
      <c r="F11" s="145" t="s">
        <v>101</v>
      </c>
      <c r="G11" s="118"/>
    </row>
    <row r="12" spans="2:7" ht="15.75" customHeight="1" x14ac:dyDescent="0.2"/>
    <row r="13" spans="2:7" ht="15.75" customHeight="1" x14ac:dyDescent="0.2"/>
    <row r="14" spans="2:7" ht="15.75" customHeight="1" x14ac:dyDescent="0.2"/>
    <row r="15" spans="2:7" ht="15.75" customHeight="1" x14ac:dyDescent="0.2"/>
    <row r="16" spans="2:7" ht="15.75" customHeight="1" x14ac:dyDescent="0.2"/>
    <row r="17" spans="2:17" ht="15.75" customHeight="1" x14ac:dyDescent="0.2">
      <c r="B17" s="62" t="s">
        <v>83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</row>
    <row r="18" spans="2:17" ht="15.75" customHeight="1" x14ac:dyDescent="0.2">
      <c r="B18" s="65" t="s">
        <v>102</v>
      </c>
      <c r="C18" s="66" t="s">
        <v>103</v>
      </c>
      <c r="D18" s="67" t="s">
        <v>104</v>
      </c>
      <c r="E18" s="67" t="s">
        <v>105</v>
      </c>
      <c r="F18" s="67" t="s">
        <v>106</v>
      </c>
      <c r="G18" s="68" t="s">
        <v>87</v>
      </c>
      <c r="H18" s="66" t="s">
        <v>103</v>
      </c>
      <c r="I18" s="67" t="s">
        <v>107</v>
      </c>
      <c r="J18" s="67" t="s">
        <v>105</v>
      </c>
      <c r="K18" s="67" t="s">
        <v>106</v>
      </c>
      <c r="L18" s="68" t="s">
        <v>87</v>
      </c>
      <c r="M18" s="69" t="s">
        <v>103</v>
      </c>
      <c r="N18" s="67" t="s">
        <v>108</v>
      </c>
      <c r="O18" s="67" t="s">
        <v>105</v>
      </c>
      <c r="P18" s="67" t="s">
        <v>106</v>
      </c>
      <c r="Q18" s="68" t="s">
        <v>87</v>
      </c>
    </row>
    <row r="19" spans="2:17" ht="15.75" customHeight="1" x14ac:dyDescent="0.2">
      <c r="B19" s="142">
        <v>1.5</v>
      </c>
      <c r="C19" s="70">
        <v>1230</v>
      </c>
      <c r="D19" s="71">
        <f t="shared" ref="D19:D32" si="0">((C19)/42.231)</f>
        <v>29.125523904240961</v>
      </c>
      <c r="E19" s="71">
        <f t="shared" ref="E19:E32" si="1">(D19*0.025)*1000/0.25</f>
        <v>2912.5523904240963</v>
      </c>
      <c r="F19" s="138">
        <f>AVERAGE(E19:E20)</f>
        <v>3090.1470483767853</v>
      </c>
      <c r="G19" s="135">
        <f>_xlfn.STDEV.S(E19:E20)</f>
        <v>251.15677388170326</v>
      </c>
      <c r="H19" s="70">
        <v>134000</v>
      </c>
      <c r="I19" s="71">
        <f t="shared" ref="I19:I32" si="2">((H19)/694.59)</f>
        <v>192.91956405937316</v>
      </c>
      <c r="J19" s="71">
        <f t="shared" ref="J19:J32" si="3">(I19*0.025)*1000/0.25</f>
        <v>19291.956405937315</v>
      </c>
      <c r="K19" s="138">
        <f>AVERAGE(J19:J20)</f>
        <v>19867.835701636934</v>
      </c>
      <c r="L19" s="135">
        <f>_xlfn.STDEV.S(J19:J20)</f>
        <v>814.41631026826906</v>
      </c>
      <c r="M19" s="72">
        <v>2.59</v>
      </c>
      <c r="N19" s="71">
        <f t="shared" ref="N19:N32" si="4">((M19)/13.05)</f>
        <v>0.19846743295019154</v>
      </c>
      <c r="O19" s="71">
        <f t="shared" ref="O19:O32" si="5">(N19*0.025)*1000/0.25</f>
        <v>19.846743295019156</v>
      </c>
      <c r="P19" s="138">
        <f>AVERAGE(O20)</f>
        <v>28.35249042145594</v>
      </c>
      <c r="Q19" s="135" t="e">
        <f>_xlfn.STDEV.S(O20)</f>
        <v>#DIV/0!</v>
      </c>
    </row>
    <row r="20" spans="2:17" ht="15.75" customHeight="1" x14ac:dyDescent="0.2">
      <c r="B20" s="140"/>
      <c r="C20" s="73">
        <v>1380</v>
      </c>
      <c r="D20" s="74">
        <f t="shared" si="0"/>
        <v>32.677417063294733</v>
      </c>
      <c r="E20" s="74">
        <f t="shared" si="1"/>
        <v>3267.7417063294738</v>
      </c>
      <c r="F20" s="130"/>
      <c r="G20" s="132"/>
      <c r="H20" s="73">
        <v>142000</v>
      </c>
      <c r="I20" s="74">
        <f t="shared" si="2"/>
        <v>204.43714997336556</v>
      </c>
      <c r="J20" s="74">
        <f t="shared" si="3"/>
        <v>20443.714997336556</v>
      </c>
      <c r="K20" s="130"/>
      <c r="L20" s="132"/>
      <c r="M20" s="75">
        <v>3.7</v>
      </c>
      <c r="N20" s="74">
        <f t="shared" si="4"/>
        <v>0.28352490421455939</v>
      </c>
      <c r="O20" s="74">
        <f t="shared" si="5"/>
        <v>28.35249042145594</v>
      </c>
      <c r="P20" s="130"/>
      <c r="Q20" s="132"/>
    </row>
    <row r="21" spans="2:17" ht="15.75" customHeight="1" x14ac:dyDescent="0.2">
      <c r="B21" s="139">
        <v>2.81</v>
      </c>
      <c r="C21" s="73">
        <v>1390</v>
      </c>
      <c r="D21" s="74">
        <f t="shared" si="0"/>
        <v>32.914209940564987</v>
      </c>
      <c r="E21" s="74">
        <f t="shared" si="1"/>
        <v>3291.4209940564988</v>
      </c>
      <c r="F21" s="129">
        <f>AVERAGE(E21:E22)</f>
        <v>3161.1849115578602</v>
      </c>
      <c r="G21" s="131">
        <f>_xlfn.STDEV.S(E21:E22)</f>
        <v>184.18163417991593</v>
      </c>
      <c r="H21" s="73">
        <v>12200</v>
      </c>
      <c r="I21" s="74">
        <f t="shared" si="2"/>
        <v>17.564318518838451</v>
      </c>
      <c r="J21" s="74">
        <f t="shared" si="3"/>
        <v>1756.4318518838454</v>
      </c>
      <c r="K21" s="129">
        <f>AVERAGE(J21:J22)</f>
        <v>1749.2333606876</v>
      </c>
      <c r="L21" s="131">
        <f>_xlfn.STDEV.S(J21:J22)</f>
        <v>10.180203878353428</v>
      </c>
      <c r="M21" s="75">
        <v>4.4400000000000004</v>
      </c>
      <c r="N21" s="74">
        <f t="shared" si="4"/>
        <v>0.34022988505747126</v>
      </c>
      <c r="O21" s="74">
        <f t="shared" si="5"/>
        <v>34.022988505747129</v>
      </c>
      <c r="P21" s="129">
        <f>AVERAGE(O21:O22)</f>
        <v>32.605363984674334</v>
      </c>
      <c r="Q21" s="131">
        <f>_xlfn.STDEV.S(O21:O22)</f>
        <v>2.0048238240538137</v>
      </c>
    </row>
    <row r="22" spans="2:17" ht="15.75" customHeight="1" x14ac:dyDescent="0.2">
      <c r="B22" s="140"/>
      <c r="C22" s="73">
        <v>1280</v>
      </c>
      <c r="D22" s="74">
        <f t="shared" si="0"/>
        <v>30.309488290592217</v>
      </c>
      <c r="E22" s="74">
        <f t="shared" si="1"/>
        <v>3030.9488290592217</v>
      </c>
      <c r="F22" s="130"/>
      <c r="G22" s="132"/>
      <c r="H22" s="73">
        <v>12100</v>
      </c>
      <c r="I22" s="74">
        <f t="shared" si="2"/>
        <v>17.420348694913546</v>
      </c>
      <c r="J22" s="74">
        <f t="shared" si="3"/>
        <v>1742.0348694913548</v>
      </c>
      <c r="K22" s="130"/>
      <c r="L22" s="132"/>
      <c r="M22" s="75">
        <v>4.07</v>
      </c>
      <c r="N22" s="74">
        <f t="shared" si="4"/>
        <v>0.31187739463601533</v>
      </c>
      <c r="O22" s="74">
        <f t="shared" si="5"/>
        <v>31.187739463601535</v>
      </c>
      <c r="P22" s="130"/>
      <c r="Q22" s="132"/>
    </row>
    <row r="23" spans="2:17" ht="15.75" customHeight="1" x14ac:dyDescent="0.2">
      <c r="B23" s="139">
        <v>4.71</v>
      </c>
      <c r="C23" s="73">
        <v>1070</v>
      </c>
      <c r="D23" s="74">
        <f t="shared" si="0"/>
        <v>25.33683786791693</v>
      </c>
      <c r="E23" s="74">
        <f t="shared" si="1"/>
        <v>2533.6837867916929</v>
      </c>
      <c r="F23" s="129">
        <f>AVERAGE(E23:E24)</f>
        <v>2545.5234306552056</v>
      </c>
      <c r="G23" s="131">
        <f>_xlfn.STDEV.S(E23:E24)</f>
        <v>16.743784925447397</v>
      </c>
      <c r="H23" s="73">
        <v>4100</v>
      </c>
      <c r="I23" s="74">
        <f t="shared" si="2"/>
        <v>5.9027627809211189</v>
      </c>
      <c r="J23" s="74">
        <f t="shared" si="3"/>
        <v>590.27627809211197</v>
      </c>
      <c r="K23" s="129">
        <f>AVERAGE(J23:J24)</f>
        <v>568.68080450337607</v>
      </c>
      <c r="L23" s="131">
        <f>_xlfn.STDEV.S(J23:J24)</f>
        <v>30.540611635060202</v>
      </c>
      <c r="M23" s="75">
        <v>1.85</v>
      </c>
      <c r="N23" s="74">
        <f t="shared" si="4"/>
        <v>0.1417624521072797</v>
      </c>
      <c r="O23" s="74">
        <f t="shared" si="5"/>
        <v>14.17624521072797</v>
      </c>
      <c r="P23" s="129">
        <f>AVERAGE(O24)</f>
        <v>25.517241379310345</v>
      </c>
      <c r="Q23" s="131" t="e">
        <f>_xlfn.STDEV.S(O24)</f>
        <v>#DIV/0!</v>
      </c>
    </row>
    <row r="24" spans="2:17" ht="15.75" customHeight="1" x14ac:dyDescent="0.2">
      <c r="B24" s="140"/>
      <c r="C24" s="73">
        <v>1080</v>
      </c>
      <c r="D24" s="74">
        <f t="shared" si="0"/>
        <v>25.573630745187184</v>
      </c>
      <c r="E24" s="74">
        <f t="shared" si="1"/>
        <v>2557.3630745187188</v>
      </c>
      <c r="F24" s="130"/>
      <c r="G24" s="132"/>
      <c r="H24" s="73">
        <v>3800</v>
      </c>
      <c r="I24" s="74">
        <f t="shared" si="2"/>
        <v>5.4708533091464027</v>
      </c>
      <c r="J24" s="74">
        <f t="shared" si="3"/>
        <v>547.08533091464028</v>
      </c>
      <c r="K24" s="130"/>
      <c r="L24" s="132"/>
      <c r="M24" s="75">
        <v>3.33</v>
      </c>
      <c r="N24" s="74">
        <f t="shared" si="4"/>
        <v>0.25517241379310346</v>
      </c>
      <c r="O24" s="74">
        <f t="shared" si="5"/>
        <v>25.517241379310345</v>
      </c>
      <c r="P24" s="130"/>
      <c r="Q24" s="132"/>
    </row>
    <row r="25" spans="2:17" ht="15.75" customHeight="1" x14ac:dyDescent="0.2">
      <c r="B25" s="139">
        <v>6.23</v>
      </c>
      <c r="C25" s="73">
        <v>1070</v>
      </c>
      <c r="D25" s="74">
        <f t="shared" si="0"/>
        <v>25.33683786791693</v>
      </c>
      <c r="E25" s="74">
        <f t="shared" si="1"/>
        <v>2533.6837867916929</v>
      </c>
      <c r="F25" s="129">
        <f>AVERAGE(E25:E26)</f>
        <v>2521.8441429281806</v>
      </c>
      <c r="G25" s="131">
        <f>_xlfn.STDEV.S(E25:E26)</f>
        <v>16.743784925446434</v>
      </c>
      <c r="H25" s="73">
        <v>3740</v>
      </c>
      <c r="I25" s="74">
        <f t="shared" si="2"/>
        <v>5.3844714147914594</v>
      </c>
      <c r="J25" s="74">
        <f t="shared" si="3"/>
        <v>538.44714147914601</v>
      </c>
      <c r="K25" s="129">
        <f>AVERAGE(J25:J26)</f>
        <v>526.20970644552904</v>
      </c>
      <c r="L25" s="131">
        <f>_xlfn.STDEV.S(J25:J26)</f>
        <v>17.306346593200779</v>
      </c>
      <c r="M25" s="75">
        <v>4.4400000000000004</v>
      </c>
      <c r="N25" s="74">
        <f t="shared" si="4"/>
        <v>0.34022988505747126</v>
      </c>
      <c r="O25" s="74">
        <f t="shared" si="5"/>
        <v>34.022988505747129</v>
      </c>
      <c r="P25" s="129">
        <f>AVERAGE(O26)</f>
        <v>14.17624521072797</v>
      </c>
      <c r="Q25" s="131" t="e">
        <f>_xlfn.STDEV.S(O26)</f>
        <v>#DIV/0!</v>
      </c>
    </row>
    <row r="26" spans="2:17" ht="15.75" customHeight="1" x14ac:dyDescent="0.2">
      <c r="B26" s="140"/>
      <c r="C26" s="73">
        <v>1060</v>
      </c>
      <c r="D26" s="74">
        <f t="shared" si="0"/>
        <v>25.10004499064668</v>
      </c>
      <c r="E26" s="74">
        <f t="shared" si="1"/>
        <v>2510.0044990646684</v>
      </c>
      <c r="F26" s="130"/>
      <c r="G26" s="132"/>
      <c r="H26" s="73">
        <v>3570</v>
      </c>
      <c r="I26" s="74">
        <f t="shared" si="2"/>
        <v>5.1397227141191202</v>
      </c>
      <c r="J26" s="74">
        <f t="shared" si="3"/>
        <v>513.97227141191206</v>
      </c>
      <c r="K26" s="130"/>
      <c r="L26" s="132"/>
      <c r="M26" s="75">
        <v>1.85</v>
      </c>
      <c r="N26" s="74">
        <f t="shared" si="4"/>
        <v>0.1417624521072797</v>
      </c>
      <c r="O26" s="74">
        <f t="shared" si="5"/>
        <v>14.17624521072797</v>
      </c>
      <c r="P26" s="130"/>
      <c r="Q26" s="132"/>
    </row>
    <row r="27" spans="2:17" ht="15.75" customHeight="1" x14ac:dyDescent="0.2">
      <c r="B27" s="139">
        <v>9.15</v>
      </c>
      <c r="C27" s="73">
        <v>1050</v>
      </c>
      <c r="D27" s="74">
        <f t="shared" si="0"/>
        <v>24.863252113376429</v>
      </c>
      <c r="E27" s="74">
        <f t="shared" si="1"/>
        <v>2486.3252113376434</v>
      </c>
      <c r="F27" s="129">
        <f>AVERAGE(E27:E28)</f>
        <v>2592.8820061092565</v>
      </c>
      <c r="G27" s="131">
        <f>_xlfn.STDEV.S(E27:E28)</f>
        <v>150.6940643290221</v>
      </c>
      <c r="H27" s="73">
        <v>3950</v>
      </c>
      <c r="I27" s="74">
        <f t="shared" si="2"/>
        <v>5.6868080450337608</v>
      </c>
      <c r="J27" s="74">
        <f t="shared" si="3"/>
        <v>568.68080450337607</v>
      </c>
      <c r="K27" s="129">
        <f>AVERAGE(J27:J28)</f>
        <v>539.16699059877044</v>
      </c>
      <c r="L27" s="131">
        <f>_xlfn.STDEV.S(J27:J28)</f>
        <v>41.738835901248869</v>
      </c>
      <c r="M27" s="75">
        <v>4.4400000000000004</v>
      </c>
      <c r="N27" s="74">
        <f t="shared" si="4"/>
        <v>0.34022988505747126</v>
      </c>
      <c r="O27" s="74">
        <f t="shared" si="5"/>
        <v>34.022988505747129</v>
      </c>
      <c r="P27" s="129">
        <f>AVERAGE(O28)</f>
        <v>11.340996168582377</v>
      </c>
      <c r="Q27" s="131" t="e">
        <f>_xlfn.STDEV.S(O28)</f>
        <v>#DIV/0!</v>
      </c>
    </row>
    <row r="28" spans="2:17" ht="15.75" customHeight="1" x14ac:dyDescent="0.2">
      <c r="B28" s="140"/>
      <c r="C28" s="73">
        <v>1140</v>
      </c>
      <c r="D28" s="74">
        <f t="shared" si="0"/>
        <v>26.994388008808695</v>
      </c>
      <c r="E28" s="74">
        <f t="shared" si="1"/>
        <v>2699.4388008808701</v>
      </c>
      <c r="F28" s="130"/>
      <c r="G28" s="132"/>
      <c r="H28" s="73">
        <v>3540</v>
      </c>
      <c r="I28" s="74">
        <f t="shared" si="2"/>
        <v>5.0965317669416486</v>
      </c>
      <c r="J28" s="74">
        <f t="shared" si="3"/>
        <v>509.65317669416487</v>
      </c>
      <c r="K28" s="130"/>
      <c r="L28" s="132"/>
      <c r="M28" s="75">
        <v>1.48</v>
      </c>
      <c r="N28" s="74">
        <f t="shared" si="4"/>
        <v>0.11340996168582375</v>
      </c>
      <c r="O28" s="74">
        <f t="shared" si="5"/>
        <v>11.340996168582377</v>
      </c>
      <c r="P28" s="130"/>
      <c r="Q28" s="132"/>
    </row>
    <row r="29" spans="2:17" ht="15.75" customHeight="1" x14ac:dyDescent="0.2">
      <c r="B29" s="139">
        <v>11.46</v>
      </c>
      <c r="C29" s="73">
        <v>1770</v>
      </c>
      <c r="D29" s="74">
        <f t="shared" si="0"/>
        <v>41.912339276834551</v>
      </c>
      <c r="E29" s="74">
        <f t="shared" si="1"/>
        <v>4191.2339276834546</v>
      </c>
      <c r="F29" s="129">
        <f>AVERAGE(E29:E30)</f>
        <v>4191.2339276834546</v>
      </c>
      <c r="G29" s="131">
        <f>_xlfn.STDEV.S(E29:E30)</f>
        <v>0</v>
      </c>
      <c r="H29" s="73">
        <v>1250</v>
      </c>
      <c r="I29" s="74">
        <f t="shared" si="2"/>
        <v>1.7996227990613167</v>
      </c>
      <c r="J29" s="74">
        <f t="shared" si="3"/>
        <v>179.96227990613167</v>
      </c>
      <c r="K29" s="129">
        <f>AVERAGE(J29:J30)</f>
        <v>163.40575015476756</v>
      </c>
      <c r="L29" s="131">
        <f>_xlfn.STDEV.S(J29:J30)</f>
        <v>23.41446892021278</v>
      </c>
      <c r="M29" s="75">
        <v>2.96</v>
      </c>
      <c r="N29" s="74">
        <f t="shared" si="4"/>
        <v>0.2268199233716475</v>
      </c>
      <c r="O29" s="74">
        <f t="shared" si="5"/>
        <v>22.681992337164754</v>
      </c>
      <c r="P29" s="129">
        <f>AVERAGE(O29)</f>
        <v>22.681992337164754</v>
      </c>
      <c r="Q29" s="131" t="e">
        <f>_xlfn.STDEV.S(O29)</f>
        <v>#DIV/0!</v>
      </c>
    </row>
    <row r="30" spans="2:17" ht="15.75" customHeight="1" x14ac:dyDescent="0.2">
      <c r="B30" s="140"/>
      <c r="C30" s="73">
        <v>1770</v>
      </c>
      <c r="D30" s="74">
        <f t="shared" si="0"/>
        <v>41.912339276834551</v>
      </c>
      <c r="E30" s="74">
        <f t="shared" si="1"/>
        <v>4191.2339276834546</v>
      </c>
      <c r="F30" s="130"/>
      <c r="G30" s="132"/>
      <c r="H30" s="73">
        <v>1020</v>
      </c>
      <c r="I30" s="74">
        <f t="shared" si="2"/>
        <v>1.4684922040340345</v>
      </c>
      <c r="J30" s="74">
        <f t="shared" si="3"/>
        <v>146.84922040340345</v>
      </c>
      <c r="K30" s="130"/>
      <c r="L30" s="132"/>
      <c r="M30" s="75">
        <v>5.93</v>
      </c>
      <c r="N30" s="74">
        <f t="shared" si="4"/>
        <v>0.4544061302681992</v>
      </c>
      <c r="O30" s="74">
        <f t="shared" si="5"/>
        <v>45.440613026819925</v>
      </c>
      <c r="P30" s="130"/>
      <c r="Q30" s="132"/>
    </row>
    <row r="31" spans="2:17" ht="15.75" customHeight="1" x14ac:dyDescent="0.2">
      <c r="B31" s="139">
        <v>12.65</v>
      </c>
      <c r="C31" s="73">
        <v>4910</v>
      </c>
      <c r="D31" s="74">
        <f t="shared" si="0"/>
        <v>116.26530273969358</v>
      </c>
      <c r="E31" s="74">
        <f t="shared" si="1"/>
        <v>11626.530273969358</v>
      </c>
      <c r="F31" s="129">
        <f>AVERAGE(E31:E32)</f>
        <v>11614.690630105846</v>
      </c>
      <c r="G31" s="131">
        <f>_xlfn.STDEV.S(E31:E32)</f>
        <v>16.743784925445791</v>
      </c>
      <c r="H31" s="73">
        <v>187</v>
      </c>
      <c r="I31" s="74">
        <f t="shared" si="2"/>
        <v>0.26922357073957298</v>
      </c>
      <c r="J31" s="74">
        <f t="shared" si="3"/>
        <v>26.922357073957301</v>
      </c>
      <c r="K31" s="129">
        <f>AVERAGE(J31:J32)</f>
        <v>27.138311809844659</v>
      </c>
      <c r="L31" s="131">
        <f>_xlfn.STDEV.S(J31:J32)</f>
        <v>0.30540611635060161</v>
      </c>
      <c r="M31" s="75">
        <v>0.74099999999999999</v>
      </c>
      <c r="N31" s="74">
        <f t="shared" si="4"/>
        <v>5.6781609195402295E-2</v>
      </c>
      <c r="O31" s="74">
        <f t="shared" si="5"/>
        <v>5.6781609195402298</v>
      </c>
      <c r="P31" s="129">
        <f>AVERAGE(O32)</f>
        <v>31.187739463601535</v>
      </c>
      <c r="Q31" s="131" t="e">
        <f>_xlfn.STDEV.S(O32)</f>
        <v>#DIV/0!</v>
      </c>
    </row>
    <row r="32" spans="2:17" ht="15.75" customHeight="1" x14ac:dyDescent="0.2">
      <c r="B32" s="141"/>
      <c r="C32" s="76">
        <v>4900</v>
      </c>
      <c r="D32" s="77">
        <f t="shared" si="0"/>
        <v>116.02850986242333</v>
      </c>
      <c r="E32" s="77">
        <f t="shared" si="1"/>
        <v>11602.850986242334</v>
      </c>
      <c r="F32" s="133"/>
      <c r="G32" s="134"/>
      <c r="H32" s="76">
        <v>190</v>
      </c>
      <c r="I32" s="77">
        <f t="shared" si="2"/>
        <v>0.27354266545732014</v>
      </c>
      <c r="J32" s="77">
        <f t="shared" si="3"/>
        <v>27.354266545732017</v>
      </c>
      <c r="K32" s="133"/>
      <c r="L32" s="134"/>
      <c r="M32" s="78">
        <v>4.07</v>
      </c>
      <c r="N32" s="77">
        <f t="shared" si="4"/>
        <v>0.31187739463601533</v>
      </c>
      <c r="O32" s="77">
        <f t="shared" si="5"/>
        <v>31.187739463601535</v>
      </c>
      <c r="P32" s="133"/>
      <c r="Q32" s="134"/>
    </row>
    <row r="33" spans="2:28" ht="15.75" customHeight="1" x14ac:dyDescent="0.2"/>
    <row r="34" spans="2:28" ht="15.75" customHeight="1" x14ac:dyDescent="0.2"/>
    <row r="35" spans="2:28" ht="15.75" customHeight="1" x14ac:dyDescent="0.2"/>
    <row r="36" spans="2:28" ht="15.75" customHeight="1" x14ac:dyDescent="0.2"/>
    <row r="37" spans="2:28" ht="15.75" customHeight="1" x14ac:dyDescent="0.2"/>
    <row r="38" spans="2:28" ht="15.75" customHeight="1" x14ac:dyDescent="0.2">
      <c r="B38" s="120" t="s">
        <v>96</v>
      </c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8"/>
    </row>
    <row r="39" spans="2:28" ht="15.75" customHeight="1" x14ac:dyDescent="0.2">
      <c r="B39" s="65" t="s">
        <v>102</v>
      </c>
      <c r="C39" s="66" t="s">
        <v>103</v>
      </c>
      <c r="D39" s="67" t="s">
        <v>104</v>
      </c>
      <c r="E39" s="67" t="s">
        <v>105</v>
      </c>
      <c r="F39" s="67" t="s">
        <v>106</v>
      </c>
      <c r="G39" s="68" t="s">
        <v>87</v>
      </c>
      <c r="H39" s="66" t="s">
        <v>103</v>
      </c>
      <c r="I39" s="67" t="s">
        <v>107</v>
      </c>
      <c r="J39" s="67" t="s">
        <v>105</v>
      </c>
      <c r="K39" s="67" t="s">
        <v>106</v>
      </c>
      <c r="L39" s="68" t="s">
        <v>87</v>
      </c>
      <c r="M39" s="69" t="s">
        <v>103</v>
      </c>
      <c r="N39" s="67" t="s">
        <v>108</v>
      </c>
      <c r="O39" s="67" t="s">
        <v>105</v>
      </c>
      <c r="P39" s="67" t="s">
        <v>106</v>
      </c>
      <c r="Q39" s="68" t="s">
        <v>87</v>
      </c>
      <c r="R39" s="79"/>
      <c r="S39" s="136"/>
      <c r="T39" s="137"/>
      <c r="U39" s="136"/>
      <c r="V39" s="137"/>
      <c r="W39" s="136"/>
      <c r="X39" s="137"/>
      <c r="Y39" s="136"/>
      <c r="Z39" s="137"/>
      <c r="AA39" s="136"/>
      <c r="AB39" s="137"/>
    </row>
    <row r="40" spans="2:28" ht="15.75" customHeight="1" x14ac:dyDescent="0.2">
      <c r="B40" s="142">
        <v>1.5</v>
      </c>
      <c r="C40" s="70">
        <v>15.2</v>
      </c>
      <c r="D40" s="74">
        <f t="shared" ref="D40:D53" si="6">((C40)/42.231)</f>
        <v>0.35992517345078257</v>
      </c>
      <c r="E40" s="74">
        <f t="shared" ref="E40:E53" si="7">(D40*0.025)*1000/0.25</f>
        <v>35.992517345078262</v>
      </c>
      <c r="F40" s="138">
        <f>AVERAGE(E40)</f>
        <v>35.992517345078262</v>
      </c>
      <c r="G40" s="135" t="e">
        <f>_xlfn.STDEV.S(E40)</f>
        <v>#DIV/0!</v>
      </c>
      <c r="H40" s="70">
        <v>195000</v>
      </c>
      <c r="I40" s="74">
        <f t="shared" ref="I40:I53" si="8">((H40)/694.59)</f>
        <v>280.74115665356538</v>
      </c>
      <c r="J40" s="74">
        <f t="shared" ref="J40:J53" si="9">(I40*0.025)*1000/0.25</f>
        <v>28074.115665356541</v>
      </c>
      <c r="K40" s="138">
        <f>AVERAGE(J40:J41)</f>
        <v>27210.296721807106</v>
      </c>
      <c r="L40" s="135">
        <f>_xlfn.STDEV.S(J40:J41)</f>
        <v>1221.6244654024074</v>
      </c>
      <c r="M40" s="70">
        <v>21.5</v>
      </c>
      <c r="N40" s="74">
        <f t="shared" ref="N40:N53" si="10">((M40)/13.05)</f>
        <v>1.6475095785440612</v>
      </c>
      <c r="O40" s="74">
        <f t="shared" ref="O40:O53" si="11">(N40*0.025)*1000/0.25</f>
        <v>164.75095785440612</v>
      </c>
      <c r="P40" s="138">
        <f>AVERAGE(O41)</f>
        <v>73.793103448275872</v>
      </c>
      <c r="Q40" s="135" t="e">
        <f>_xlfn.STDEV.S(O41)</f>
        <v>#DIV/0!</v>
      </c>
    </row>
    <row r="41" spans="2:28" ht="15.75" customHeight="1" x14ac:dyDescent="0.2">
      <c r="B41" s="140"/>
      <c r="C41" s="73">
        <v>1.1100000000000001</v>
      </c>
      <c r="D41" s="74">
        <f t="shared" si="6"/>
        <v>2.628400937699794E-2</v>
      </c>
      <c r="E41" s="74">
        <f t="shared" si="7"/>
        <v>2.6284009376997939</v>
      </c>
      <c r="F41" s="130"/>
      <c r="G41" s="132"/>
      <c r="H41" s="73">
        <v>183000</v>
      </c>
      <c r="I41" s="74">
        <f t="shared" si="8"/>
        <v>263.46477778257673</v>
      </c>
      <c r="J41" s="74">
        <f t="shared" si="9"/>
        <v>26346.477778257675</v>
      </c>
      <c r="K41" s="130"/>
      <c r="L41" s="132"/>
      <c r="M41" s="73">
        <v>9.6300000000000008</v>
      </c>
      <c r="N41" s="74">
        <f t="shared" si="10"/>
        <v>0.73793103448275865</v>
      </c>
      <c r="O41" s="74">
        <f t="shared" si="11"/>
        <v>73.793103448275872</v>
      </c>
      <c r="P41" s="130"/>
      <c r="Q41" s="132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2:28" ht="15.75" customHeight="1" x14ac:dyDescent="0.2">
      <c r="B42" s="139">
        <v>2.81</v>
      </c>
      <c r="C42" s="73">
        <v>3.33</v>
      </c>
      <c r="D42" s="74">
        <f t="shared" si="6"/>
        <v>7.8852028130993818E-2</v>
      </c>
      <c r="E42" s="74">
        <f t="shared" si="7"/>
        <v>7.8852028130993821</v>
      </c>
      <c r="F42" s="129">
        <f>AVERAGE(E42:E43)</f>
        <v>7.4471359901494161</v>
      </c>
      <c r="G42" s="131">
        <f>_xlfn.STDEV.S(E42:E43)</f>
        <v>0.61952004224153534</v>
      </c>
      <c r="H42" s="73">
        <v>15300</v>
      </c>
      <c r="I42" s="74">
        <f t="shared" si="8"/>
        <v>22.027383060510516</v>
      </c>
      <c r="J42" s="74">
        <f t="shared" si="9"/>
        <v>2202.7383060510515</v>
      </c>
      <c r="K42" s="129">
        <f>AVERAGE(J42:J43)</f>
        <v>2238.7307620322781</v>
      </c>
      <c r="L42" s="131">
        <f>_xlfn.STDEV.S(J42:J43)</f>
        <v>50.90101939176698</v>
      </c>
      <c r="M42" s="73">
        <v>4.8099999999999996</v>
      </c>
      <c r="N42" s="74">
        <f t="shared" si="10"/>
        <v>0.36858237547892714</v>
      </c>
      <c r="O42" s="74">
        <f t="shared" si="11"/>
        <v>36.858237547892713</v>
      </c>
      <c r="P42" s="129">
        <f>AVERAGE(O42:O43)</f>
        <v>38.314176245210724</v>
      </c>
      <c r="Q42" s="131">
        <f>_xlfn.STDEV.S(O42:O43)</f>
        <v>2.0590082517309476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2:28" ht="15.75" customHeight="1" x14ac:dyDescent="0.2">
      <c r="B43" s="140"/>
      <c r="C43" s="73">
        <v>2.96</v>
      </c>
      <c r="D43" s="74">
        <f t="shared" si="6"/>
        <v>7.0090691671994498E-2</v>
      </c>
      <c r="E43" s="74">
        <f t="shared" si="7"/>
        <v>7.0090691671994501</v>
      </c>
      <c r="F43" s="130"/>
      <c r="G43" s="132"/>
      <c r="H43" s="73">
        <v>15800</v>
      </c>
      <c r="I43" s="74">
        <f t="shared" si="8"/>
        <v>22.747232180135043</v>
      </c>
      <c r="J43" s="74">
        <f t="shared" si="9"/>
        <v>2274.7232180135043</v>
      </c>
      <c r="K43" s="130"/>
      <c r="L43" s="132"/>
      <c r="M43" s="73">
        <v>5.19</v>
      </c>
      <c r="N43" s="74">
        <f t="shared" si="10"/>
        <v>0.39770114942528734</v>
      </c>
      <c r="O43" s="74">
        <f t="shared" si="11"/>
        <v>39.770114942528735</v>
      </c>
      <c r="P43" s="130"/>
      <c r="Q43" s="132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2:28" ht="15.75" customHeight="1" x14ac:dyDescent="0.2">
      <c r="B44" s="139">
        <v>4.71</v>
      </c>
      <c r="C44" s="73">
        <v>5.56</v>
      </c>
      <c r="D44" s="74">
        <f t="shared" si="6"/>
        <v>0.13165683976225995</v>
      </c>
      <c r="E44" s="74">
        <f t="shared" si="7"/>
        <v>13.165683976225996</v>
      </c>
      <c r="F44" s="129">
        <f>AVERAGE(E44:E45)</f>
        <v>9.2112429258127921</v>
      </c>
      <c r="G44" s="131">
        <f>_xlfn.STDEV.S(E44:E45)</f>
        <v>5.5924241650992608</v>
      </c>
      <c r="H44" s="73">
        <v>7290</v>
      </c>
      <c r="I44" s="74">
        <f t="shared" si="8"/>
        <v>10.495400164125599</v>
      </c>
      <c r="J44" s="74">
        <f t="shared" si="9"/>
        <v>1049.5400164125599</v>
      </c>
      <c r="K44" s="129">
        <f>AVERAGE(J44:J45)</f>
        <v>1025.7849954649505</v>
      </c>
      <c r="L44" s="131">
        <f>_xlfn.STDEV.S(J44:J45)</f>
        <v>33.594672798566201</v>
      </c>
      <c r="M44" s="73">
        <v>4.4400000000000004</v>
      </c>
      <c r="N44" s="74">
        <f t="shared" si="10"/>
        <v>0.34022988505747126</v>
      </c>
      <c r="O44" s="74">
        <f t="shared" si="11"/>
        <v>34.022988505747129</v>
      </c>
      <c r="P44" s="129">
        <f>AVERAGE(O44:O45)</f>
        <v>28.35249042145594</v>
      </c>
      <c r="Q44" s="131">
        <f>_xlfn.STDEV.S(O44:O45)</f>
        <v>8.0192952962152599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2:28" ht="15.75" customHeight="1" x14ac:dyDescent="0.2">
      <c r="B45" s="140"/>
      <c r="C45" s="73">
        <v>2.2200000000000002</v>
      </c>
      <c r="D45" s="74">
        <f t="shared" si="6"/>
        <v>5.2568018753995881E-2</v>
      </c>
      <c r="E45" s="74">
        <f t="shared" si="7"/>
        <v>5.2568018753995878</v>
      </c>
      <c r="F45" s="130"/>
      <c r="G45" s="132"/>
      <c r="H45" s="73">
        <v>6960</v>
      </c>
      <c r="I45" s="74">
        <f t="shared" si="8"/>
        <v>10.020299745173411</v>
      </c>
      <c r="J45" s="74">
        <f t="shared" si="9"/>
        <v>1002.0299745173411</v>
      </c>
      <c r="K45" s="130"/>
      <c r="L45" s="132"/>
      <c r="M45" s="73">
        <v>2.96</v>
      </c>
      <c r="N45" s="74">
        <f t="shared" si="10"/>
        <v>0.2268199233716475</v>
      </c>
      <c r="O45" s="74">
        <f t="shared" si="11"/>
        <v>22.681992337164754</v>
      </c>
      <c r="P45" s="130"/>
      <c r="Q45" s="132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2:28" ht="15.75" customHeight="1" x14ac:dyDescent="0.2">
      <c r="B46" s="139">
        <v>6.23</v>
      </c>
      <c r="C46" s="73">
        <v>3.7</v>
      </c>
      <c r="D46" s="74">
        <f t="shared" si="6"/>
        <v>8.7613364589993137E-2</v>
      </c>
      <c r="E46" s="74">
        <f t="shared" si="7"/>
        <v>8.7613364589993132</v>
      </c>
      <c r="F46" s="129">
        <f>AVERAGE(E46:E47)</f>
        <v>8.3232696360493481</v>
      </c>
      <c r="G46" s="131">
        <f>_xlfn.STDEV.S(E46:E47)</f>
        <v>0.61952004224153467</v>
      </c>
      <c r="H46" s="73">
        <v>6100</v>
      </c>
      <c r="I46" s="74">
        <f t="shared" si="8"/>
        <v>8.7821592594192257</v>
      </c>
      <c r="J46" s="74">
        <f t="shared" si="9"/>
        <v>878.21592594192271</v>
      </c>
      <c r="K46" s="129">
        <f>AVERAGE(J46:J47)</f>
        <v>917.80762752127157</v>
      </c>
      <c r="L46" s="131">
        <f>_xlfn.STDEV.S(J46:J47)</f>
        <v>55.99112133094345</v>
      </c>
      <c r="M46" s="73">
        <v>4.07</v>
      </c>
      <c r="N46" s="74">
        <f t="shared" si="10"/>
        <v>0.31187739463601533</v>
      </c>
      <c r="O46" s="74">
        <f t="shared" si="11"/>
        <v>31.187739463601535</v>
      </c>
      <c r="P46" s="129">
        <f>AVERAGE(O46:O47)</f>
        <v>29.770114942528735</v>
      </c>
      <c r="Q46" s="131">
        <f>_xlfn.STDEV.S(O46:O47)</f>
        <v>2.0048238240538137</v>
      </c>
      <c r="R46" s="79"/>
      <c r="S46" s="136"/>
      <c r="T46" s="137"/>
      <c r="U46" s="136"/>
      <c r="V46" s="137"/>
      <c r="W46" s="136"/>
      <c r="X46" s="137"/>
      <c r="Y46" s="136"/>
      <c r="Z46" s="137"/>
      <c r="AA46" s="136"/>
      <c r="AB46" s="137"/>
    </row>
    <row r="47" spans="2:28" ht="15.75" customHeight="1" x14ac:dyDescent="0.2">
      <c r="B47" s="140"/>
      <c r="C47" s="73">
        <v>3.33</v>
      </c>
      <c r="D47" s="74">
        <f t="shared" si="6"/>
        <v>7.8852028130993818E-2</v>
      </c>
      <c r="E47" s="74">
        <f t="shared" si="7"/>
        <v>7.8852028130993821</v>
      </c>
      <c r="F47" s="130"/>
      <c r="G47" s="132"/>
      <c r="H47" s="73">
        <v>6650</v>
      </c>
      <c r="I47" s="74">
        <f t="shared" si="8"/>
        <v>9.5739932910062038</v>
      </c>
      <c r="J47" s="74">
        <f t="shared" si="9"/>
        <v>957.39932910062043</v>
      </c>
      <c r="K47" s="130"/>
      <c r="L47" s="132"/>
      <c r="M47" s="73">
        <v>3.7</v>
      </c>
      <c r="N47" s="74">
        <f t="shared" si="10"/>
        <v>0.28352490421455939</v>
      </c>
      <c r="O47" s="74">
        <f t="shared" si="11"/>
        <v>28.35249042145594</v>
      </c>
      <c r="P47" s="130"/>
      <c r="Q47" s="132"/>
    </row>
    <row r="48" spans="2:28" ht="15.75" customHeight="1" x14ac:dyDescent="0.2">
      <c r="B48" s="139">
        <v>9.15</v>
      </c>
      <c r="C48" s="73">
        <v>4.07</v>
      </c>
      <c r="D48" s="74">
        <f t="shared" si="6"/>
        <v>9.6374701048992456E-2</v>
      </c>
      <c r="E48" s="74">
        <f t="shared" si="7"/>
        <v>9.6374701048992453</v>
      </c>
      <c r="F48" s="129">
        <f>AVERAGE(E48:E49)</f>
        <v>9.1994032819492801</v>
      </c>
      <c r="G48" s="131">
        <f>_xlfn.STDEV.S(E48:E49)</f>
        <v>0.61952004224153534</v>
      </c>
      <c r="H48" s="73">
        <v>7270</v>
      </c>
      <c r="I48" s="74">
        <f t="shared" si="8"/>
        <v>10.466606199340617</v>
      </c>
      <c r="J48" s="74">
        <f t="shared" si="9"/>
        <v>1046.6606199340617</v>
      </c>
      <c r="K48" s="129">
        <f>AVERAGE(J48:J49)</f>
        <v>1035.8628831396938</v>
      </c>
      <c r="L48" s="131">
        <f>_xlfn.STDEV.S(J48:J49)</f>
        <v>15.270305817530062</v>
      </c>
      <c r="M48" s="73">
        <v>0.37</v>
      </c>
      <c r="N48" s="74">
        <f t="shared" si="10"/>
        <v>2.8352490421455937E-2</v>
      </c>
      <c r="O48" s="74">
        <f t="shared" si="11"/>
        <v>2.8352490421455943</v>
      </c>
      <c r="P48" s="129">
        <f>AVERAGE(O48:O49)</f>
        <v>2.8352490421455943</v>
      </c>
      <c r="Q48" s="131">
        <f>_xlfn.STDEV.S(O48:O49)</f>
        <v>0</v>
      </c>
    </row>
    <row r="49" spans="2:17" ht="15.75" customHeight="1" x14ac:dyDescent="0.2">
      <c r="B49" s="140"/>
      <c r="C49" s="73">
        <v>3.7</v>
      </c>
      <c r="D49" s="74">
        <f t="shared" si="6"/>
        <v>8.7613364589993137E-2</v>
      </c>
      <c r="E49" s="74">
        <f t="shared" si="7"/>
        <v>8.7613364589993132</v>
      </c>
      <c r="F49" s="130"/>
      <c r="G49" s="132"/>
      <c r="H49" s="73">
        <v>7120</v>
      </c>
      <c r="I49" s="74">
        <f t="shared" si="8"/>
        <v>10.250651463453259</v>
      </c>
      <c r="J49" s="74">
        <f t="shared" si="9"/>
        <v>1025.065146345326</v>
      </c>
      <c r="K49" s="130"/>
      <c r="L49" s="132"/>
      <c r="M49" s="73">
        <v>0.37</v>
      </c>
      <c r="N49" s="74">
        <f t="shared" si="10"/>
        <v>2.8352490421455937E-2</v>
      </c>
      <c r="O49" s="74">
        <f t="shared" si="11"/>
        <v>2.8352490421455943</v>
      </c>
      <c r="P49" s="130"/>
      <c r="Q49" s="132"/>
    </row>
    <row r="50" spans="2:17" ht="15.75" customHeight="1" x14ac:dyDescent="0.2">
      <c r="B50" s="139">
        <v>11.46</v>
      </c>
      <c r="C50" s="73">
        <v>0.74099999999999999</v>
      </c>
      <c r="D50" s="74">
        <f t="shared" si="6"/>
        <v>1.7546352205725649E-2</v>
      </c>
      <c r="E50" s="74">
        <f t="shared" si="7"/>
        <v>1.754635220572565</v>
      </c>
      <c r="F50" s="129">
        <f>AVERAGE(E50:E51)</f>
        <v>3.5057185479860764</v>
      </c>
      <c r="G50" s="131">
        <f>_xlfn.STDEV.S(E50:E51)</f>
        <v>2.4764057904735943</v>
      </c>
      <c r="H50" s="73">
        <v>559</v>
      </c>
      <c r="I50" s="74">
        <f t="shared" si="8"/>
        <v>0.80479131574022078</v>
      </c>
      <c r="J50" s="74">
        <f t="shared" si="9"/>
        <v>80.479131574022091</v>
      </c>
      <c r="K50" s="129">
        <f>AVERAGE(J50:J51)</f>
        <v>81.918829813271145</v>
      </c>
      <c r="L50" s="131">
        <f>_xlfn.STDEV.S(J50:J51)</f>
        <v>2.0360407756706773</v>
      </c>
      <c r="M50" s="73">
        <v>1.1100000000000001</v>
      </c>
      <c r="N50" s="74">
        <f t="shared" si="10"/>
        <v>8.5057471264367815E-2</v>
      </c>
      <c r="O50" s="74">
        <f t="shared" si="11"/>
        <v>8.5057471264367823</v>
      </c>
      <c r="P50" s="129">
        <f>AVERAGE(O51)</f>
        <v>39.770114942528735</v>
      </c>
      <c r="Q50" s="131" t="e">
        <f>_xlfn.STDEV.S(O51)</f>
        <v>#DIV/0!</v>
      </c>
    </row>
    <row r="51" spans="2:17" ht="15.75" customHeight="1" x14ac:dyDescent="0.2">
      <c r="B51" s="140"/>
      <c r="C51" s="73">
        <v>2.2200000000000002</v>
      </c>
      <c r="D51" s="74">
        <f t="shared" si="6"/>
        <v>5.2568018753995881E-2</v>
      </c>
      <c r="E51" s="74">
        <f t="shared" si="7"/>
        <v>5.2568018753995878</v>
      </c>
      <c r="F51" s="130"/>
      <c r="G51" s="132"/>
      <c r="H51" s="73">
        <v>579</v>
      </c>
      <c r="I51" s="74">
        <f t="shared" si="8"/>
        <v>0.83358528052520187</v>
      </c>
      <c r="J51" s="74">
        <f t="shared" si="9"/>
        <v>83.358528052520199</v>
      </c>
      <c r="K51" s="130"/>
      <c r="L51" s="132"/>
      <c r="M51" s="73">
        <v>5.19</v>
      </c>
      <c r="N51" s="74">
        <f t="shared" si="10"/>
        <v>0.39770114942528734</v>
      </c>
      <c r="O51" s="74">
        <f t="shared" si="11"/>
        <v>39.770114942528735</v>
      </c>
      <c r="P51" s="130"/>
      <c r="Q51" s="132"/>
    </row>
    <row r="52" spans="2:17" ht="15.75" customHeight="1" x14ac:dyDescent="0.2">
      <c r="B52" s="139">
        <v>12.65</v>
      </c>
      <c r="C52" s="73">
        <v>5.19</v>
      </c>
      <c r="D52" s="74">
        <f t="shared" si="6"/>
        <v>0.12289550330326064</v>
      </c>
      <c r="E52" s="74">
        <f t="shared" si="7"/>
        <v>12.289550330326065</v>
      </c>
      <c r="F52" s="129">
        <f>AVERAGE(E53)</f>
        <v>23.679287727025169</v>
      </c>
      <c r="G52" s="131" t="e">
        <f>_xlfn.STDEV.S(E53)</f>
        <v>#DIV/0!</v>
      </c>
      <c r="H52" s="73">
        <v>66.7</v>
      </c>
      <c r="I52" s="74">
        <f t="shared" si="8"/>
        <v>9.6027872557911856E-2</v>
      </c>
      <c r="J52" s="74">
        <f t="shared" si="9"/>
        <v>9.6027872557911866</v>
      </c>
      <c r="K52" s="129">
        <f>AVERAGE(J52:J53)</f>
        <v>11.99988482414086</v>
      </c>
      <c r="L52" s="131">
        <f>_xlfn.STDEV.S(J52:J53)</f>
        <v>3.3900078914916754</v>
      </c>
      <c r="M52" s="73">
        <v>809</v>
      </c>
      <c r="N52" s="74">
        <f t="shared" si="10"/>
        <v>61.992337164750957</v>
      </c>
      <c r="O52" s="74">
        <f t="shared" si="11"/>
        <v>6199.2337164750961</v>
      </c>
      <c r="P52" s="129">
        <f>AVERAGE(O53)</f>
        <v>2873.5632183908046</v>
      </c>
      <c r="Q52" s="131" t="e">
        <f>_xlfn.STDEV.S(O53)</f>
        <v>#DIV/0!</v>
      </c>
    </row>
    <row r="53" spans="2:17" ht="15.75" customHeight="1" x14ac:dyDescent="0.2">
      <c r="B53" s="141"/>
      <c r="C53" s="76">
        <v>10</v>
      </c>
      <c r="D53" s="77">
        <f t="shared" si="6"/>
        <v>0.23679287727025169</v>
      </c>
      <c r="E53" s="77">
        <f t="shared" si="7"/>
        <v>23.679287727025169</v>
      </c>
      <c r="F53" s="133"/>
      <c r="G53" s="134"/>
      <c r="H53" s="76">
        <v>100</v>
      </c>
      <c r="I53" s="77">
        <f t="shared" si="8"/>
        <v>0.14396982392490534</v>
      </c>
      <c r="J53" s="77">
        <f t="shared" si="9"/>
        <v>14.396982392490536</v>
      </c>
      <c r="K53" s="133"/>
      <c r="L53" s="134"/>
      <c r="M53" s="76">
        <v>375</v>
      </c>
      <c r="N53" s="77">
        <f t="shared" si="10"/>
        <v>28.735632183908045</v>
      </c>
      <c r="O53" s="77">
        <f t="shared" si="11"/>
        <v>2873.5632183908046</v>
      </c>
      <c r="P53" s="133"/>
      <c r="Q53" s="134"/>
    </row>
    <row r="54" spans="2:17" ht="15.75" customHeight="1" x14ac:dyDescent="0.2"/>
    <row r="55" spans="2:17" ht="15.75" customHeight="1" x14ac:dyDescent="0.2"/>
    <row r="56" spans="2:17" ht="15.75" customHeight="1" x14ac:dyDescent="0.2"/>
    <row r="57" spans="2:17" ht="15.75" customHeight="1" x14ac:dyDescent="0.2"/>
    <row r="58" spans="2:17" ht="15.75" customHeight="1" x14ac:dyDescent="0.2">
      <c r="B58" s="143" t="s">
        <v>97</v>
      </c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8"/>
    </row>
    <row r="59" spans="2:17" ht="15.75" customHeight="1" x14ac:dyDescent="0.2">
      <c r="B59" s="65" t="s">
        <v>102</v>
      </c>
      <c r="C59" s="66" t="s">
        <v>103</v>
      </c>
      <c r="D59" s="67" t="s">
        <v>104</v>
      </c>
      <c r="E59" s="67" t="s">
        <v>105</v>
      </c>
      <c r="F59" s="67" t="s">
        <v>106</v>
      </c>
      <c r="G59" s="68" t="s">
        <v>87</v>
      </c>
      <c r="H59" s="66" t="s">
        <v>103</v>
      </c>
      <c r="I59" s="67" t="s">
        <v>107</v>
      </c>
      <c r="J59" s="67" t="s">
        <v>105</v>
      </c>
      <c r="K59" s="67" t="s">
        <v>106</v>
      </c>
      <c r="L59" s="68" t="s">
        <v>87</v>
      </c>
      <c r="M59" s="66" t="s">
        <v>103</v>
      </c>
      <c r="N59" s="67" t="s">
        <v>108</v>
      </c>
      <c r="O59" s="67" t="s">
        <v>105</v>
      </c>
      <c r="P59" s="67" t="s">
        <v>106</v>
      </c>
      <c r="Q59" s="68" t="s">
        <v>87</v>
      </c>
    </row>
    <row r="60" spans="2:17" ht="15.75" customHeight="1" x14ac:dyDescent="0.2">
      <c r="B60" s="142">
        <v>1.5</v>
      </c>
      <c r="C60" s="70">
        <v>191</v>
      </c>
      <c r="D60" s="74">
        <f t="shared" ref="D60:D73" si="12">((C60)/42.231)</f>
        <v>4.5227439558618077</v>
      </c>
      <c r="E60" s="74">
        <f t="shared" ref="E60:E73" si="13">(D60*0.025)*1000/0.25</f>
        <v>452.27439558618079</v>
      </c>
      <c r="F60" s="138">
        <f>AVERAGE(E60:E61)</f>
        <v>433.33096540456063</v>
      </c>
      <c r="G60" s="135">
        <f>_xlfn.STDEV.S(E60:E61)</f>
        <v>26.790055880715009</v>
      </c>
      <c r="H60" s="70">
        <v>3820</v>
      </c>
      <c r="I60" s="74">
        <f t="shared" ref="I60:I73" si="14">((H60)/694.59)</f>
        <v>5.4996472739313838</v>
      </c>
      <c r="J60" s="74">
        <f t="shared" ref="J60:J73" si="15">(I60*0.025)*1000/0.25</f>
        <v>549.96472739313845</v>
      </c>
      <c r="K60" s="138">
        <f>AVERAGE(J60:J61)</f>
        <v>491.65694870355179</v>
      </c>
      <c r="L60" s="135">
        <f>_xlfn.STDEV.S(J60:J61)</f>
        <v>82.459651414662233</v>
      </c>
      <c r="M60" s="72">
        <v>4.07</v>
      </c>
      <c r="N60" s="74">
        <f t="shared" ref="N60:N73" si="16">((M60)/13.05)</f>
        <v>0.31187739463601533</v>
      </c>
      <c r="O60" s="74">
        <f t="shared" ref="O60:O73" si="17">(N60*0.025)*1000/0.25</f>
        <v>31.187739463601535</v>
      </c>
      <c r="P60" s="138">
        <f>AVERAGE(O60)</f>
        <v>31.187739463601535</v>
      </c>
      <c r="Q60" s="135" t="e">
        <f>_xlfn.STDEV.S(O60)</f>
        <v>#DIV/0!</v>
      </c>
    </row>
    <row r="61" spans="2:17" ht="15.75" customHeight="1" x14ac:dyDescent="0.2">
      <c r="B61" s="140"/>
      <c r="C61" s="73">
        <v>175</v>
      </c>
      <c r="D61" s="74">
        <f t="shared" si="12"/>
        <v>4.1438753522294052</v>
      </c>
      <c r="E61" s="74">
        <f t="shared" si="13"/>
        <v>414.38753522294053</v>
      </c>
      <c r="F61" s="130"/>
      <c r="G61" s="132"/>
      <c r="H61" s="73">
        <v>3010</v>
      </c>
      <c r="I61" s="74">
        <f t="shared" si="14"/>
        <v>4.3334917001396507</v>
      </c>
      <c r="J61" s="74">
        <f t="shared" si="15"/>
        <v>433.34917001396514</v>
      </c>
      <c r="K61" s="130"/>
      <c r="L61" s="132"/>
      <c r="M61" s="75">
        <v>0.37</v>
      </c>
      <c r="N61" s="74">
        <f t="shared" si="16"/>
        <v>2.8352490421455937E-2</v>
      </c>
      <c r="O61" s="74">
        <f t="shared" si="17"/>
        <v>2.8352490421455943</v>
      </c>
      <c r="P61" s="130"/>
      <c r="Q61" s="132"/>
    </row>
    <row r="62" spans="2:17" ht="15.75" customHeight="1" x14ac:dyDescent="0.2">
      <c r="B62" s="139">
        <v>2.81</v>
      </c>
      <c r="C62" s="73">
        <v>87.4</v>
      </c>
      <c r="D62" s="74">
        <f t="shared" si="12"/>
        <v>2.0695697473419998</v>
      </c>
      <c r="E62" s="74">
        <f t="shared" si="13"/>
        <v>206.9569747342</v>
      </c>
      <c r="F62" s="129">
        <f>AVERAGE(E62:E63)</f>
        <v>204.82583883876771</v>
      </c>
      <c r="G62" s="131">
        <f>_xlfn.STDEV.S(E62:E63)</f>
        <v>3.0138812865804603</v>
      </c>
      <c r="H62" s="73">
        <v>2100</v>
      </c>
      <c r="I62" s="74">
        <f t="shared" si="14"/>
        <v>3.0233663024230122</v>
      </c>
      <c r="J62" s="74">
        <f t="shared" si="15"/>
        <v>302.33663024230123</v>
      </c>
      <c r="K62" s="129">
        <f>AVERAGE(J62:J63)</f>
        <v>301.61678112267668</v>
      </c>
      <c r="L62" s="131">
        <f>_xlfn.STDEV.S(J62:J63)</f>
        <v>1.0180203878353187</v>
      </c>
      <c r="M62" s="75">
        <v>2.59</v>
      </c>
      <c r="N62" s="74">
        <f t="shared" si="16"/>
        <v>0.19846743295019154</v>
      </c>
      <c r="O62" s="74">
        <f t="shared" si="17"/>
        <v>19.846743295019156</v>
      </c>
      <c r="P62" s="129">
        <f>AVERAGE(O63)</f>
        <v>11.340996168582377</v>
      </c>
      <c r="Q62" s="131" t="e">
        <f>_xlfn.STDEV.S(O63)</f>
        <v>#DIV/0!</v>
      </c>
    </row>
    <row r="63" spans="2:17" ht="15.75" customHeight="1" x14ac:dyDescent="0.2">
      <c r="B63" s="140"/>
      <c r="C63" s="73">
        <v>85.6</v>
      </c>
      <c r="D63" s="74">
        <f t="shared" si="12"/>
        <v>2.0269470294333543</v>
      </c>
      <c r="E63" s="74">
        <f t="shared" si="13"/>
        <v>202.69470294333544</v>
      </c>
      <c r="F63" s="130"/>
      <c r="G63" s="132"/>
      <c r="H63" s="73">
        <v>2090</v>
      </c>
      <c r="I63" s="74">
        <f t="shared" si="14"/>
        <v>3.0089693200305216</v>
      </c>
      <c r="J63" s="74">
        <f t="shared" si="15"/>
        <v>300.8969320030522</v>
      </c>
      <c r="K63" s="130"/>
      <c r="L63" s="132"/>
      <c r="M63" s="75">
        <v>1.48</v>
      </c>
      <c r="N63" s="74">
        <f t="shared" si="16"/>
        <v>0.11340996168582375</v>
      </c>
      <c r="O63" s="74">
        <f t="shared" si="17"/>
        <v>11.340996168582377</v>
      </c>
      <c r="P63" s="130"/>
      <c r="Q63" s="132"/>
    </row>
    <row r="64" spans="2:17" ht="15.75" customHeight="1" x14ac:dyDescent="0.2">
      <c r="B64" s="139">
        <v>4.71</v>
      </c>
      <c r="C64" s="73">
        <v>48.1</v>
      </c>
      <c r="D64" s="74">
        <f t="shared" si="12"/>
        <v>1.1389737396699107</v>
      </c>
      <c r="E64" s="74">
        <f t="shared" si="13"/>
        <v>113.89737396699107</v>
      </c>
      <c r="F64" s="129">
        <f>AVERAGE(E64:E65)</f>
        <v>127.15777509412517</v>
      </c>
      <c r="G64" s="131">
        <f>_xlfn.STDEV.S(E64:E65)</f>
        <v>18.753039116500652</v>
      </c>
      <c r="H64" s="73">
        <v>800</v>
      </c>
      <c r="I64" s="74">
        <f t="shared" si="14"/>
        <v>1.1517585913992427</v>
      </c>
      <c r="J64" s="74">
        <f t="shared" si="15"/>
        <v>115.17585913992428</v>
      </c>
      <c r="K64" s="129">
        <f>AVERAGE(J64:J65)</f>
        <v>118.05525561842238</v>
      </c>
      <c r="L64" s="131">
        <f>_xlfn.STDEV.S(J64:J65)</f>
        <v>4.0720815513413351</v>
      </c>
      <c r="M64" s="75">
        <v>2.59</v>
      </c>
      <c r="N64" s="74">
        <f t="shared" si="16"/>
        <v>0.19846743295019154</v>
      </c>
      <c r="O64" s="74">
        <f t="shared" si="17"/>
        <v>19.846743295019156</v>
      </c>
      <c r="P64" s="129">
        <f>AVERAGE(O65)</f>
        <v>8.5057471264367823</v>
      </c>
      <c r="Q64" s="131" t="e">
        <f>_xlfn.STDEV.S(O65)</f>
        <v>#DIV/0!</v>
      </c>
    </row>
    <row r="65" spans="2:17" ht="15.75" customHeight="1" x14ac:dyDescent="0.2">
      <c r="B65" s="140"/>
      <c r="C65" s="73">
        <v>59.3</v>
      </c>
      <c r="D65" s="74">
        <f t="shared" si="12"/>
        <v>1.4041817622125925</v>
      </c>
      <c r="E65" s="74">
        <f t="shared" si="13"/>
        <v>140.41817622125927</v>
      </c>
      <c r="F65" s="130"/>
      <c r="G65" s="132"/>
      <c r="H65" s="73">
        <v>840</v>
      </c>
      <c r="I65" s="74">
        <f t="shared" si="14"/>
        <v>1.2093465209692047</v>
      </c>
      <c r="J65" s="74">
        <f t="shared" si="15"/>
        <v>120.93465209692047</v>
      </c>
      <c r="K65" s="130"/>
      <c r="L65" s="132"/>
      <c r="M65" s="75">
        <v>1.1100000000000001</v>
      </c>
      <c r="N65" s="74">
        <f t="shared" si="16"/>
        <v>8.5057471264367815E-2</v>
      </c>
      <c r="O65" s="74">
        <f t="shared" si="17"/>
        <v>8.5057471264367823</v>
      </c>
      <c r="P65" s="130"/>
      <c r="Q65" s="132"/>
    </row>
    <row r="66" spans="2:17" ht="15.75" customHeight="1" x14ac:dyDescent="0.2">
      <c r="B66" s="139">
        <v>6.23</v>
      </c>
      <c r="C66" s="73">
        <v>58.5</v>
      </c>
      <c r="D66" s="74">
        <f t="shared" si="12"/>
        <v>1.3852383320309725</v>
      </c>
      <c r="E66" s="74">
        <f t="shared" si="13"/>
        <v>138.52383320309724</v>
      </c>
      <c r="F66" s="129">
        <f>AVERAGE(E66:E67)</f>
        <v>125.38182851459827</v>
      </c>
      <c r="G66" s="131">
        <f>_xlfn.STDEV.S(E66:E67)</f>
        <v>18.585601267246048</v>
      </c>
      <c r="H66" s="73">
        <v>681</v>
      </c>
      <c r="I66" s="74">
        <f t="shared" si="14"/>
        <v>0.98043450092860529</v>
      </c>
      <c r="J66" s="74">
        <f t="shared" si="15"/>
        <v>98.043450092860525</v>
      </c>
      <c r="K66" s="129">
        <f>AVERAGE(J66:J67)</f>
        <v>104.45010725751882</v>
      </c>
      <c r="L66" s="131">
        <f>_xlfn.STDEV.S(J66:J67)</f>
        <v>9.0603814517345249</v>
      </c>
      <c r="M66" s="75">
        <v>0.74099999999999999</v>
      </c>
      <c r="N66" s="74">
        <f t="shared" si="16"/>
        <v>5.6781609195402295E-2</v>
      </c>
      <c r="O66" s="74">
        <f t="shared" si="17"/>
        <v>5.6781609195402298</v>
      </c>
      <c r="P66" s="129">
        <f>AVERAGE(O66:O67)</f>
        <v>7.0919540229885065</v>
      </c>
      <c r="Q66" s="131">
        <f>_xlfn.STDEV.S(O66:O67)</f>
        <v>1.9994053812860975</v>
      </c>
    </row>
    <row r="67" spans="2:17" ht="15.75" customHeight="1" x14ac:dyDescent="0.2">
      <c r="B67" s="140"/>
      <c r="C67" s="73">
        <v>47.4</v>
      </c>
      <c r="D67" s="74">
        <f t="shared" si="12"/>
        <v>1.1223982382609929</v>
      </c>
      <c r="E67" s="74">
        <f t="shared" si="13"/>
        <v>112.2398238260993</v>
      </c>
      <c r="F67" s="130"/>
      <c r="G67" s="132"/>
      <c r="H67" s="73">
        <v>770</v>
      </c>
      <c r="I67" s="74">
        <f t="shared" si="14"/>
        <v>1.1085676442217711</v>
      </c>
      <c r="J67" s="74">
        <f t="shared" si="15"/>
        <v>110.85676442217712</v>
      </c>
      <c r="K67" s="130"/>
      <c r="L67" s="132"/>
      <c r="M67" s="75">
        <v>1.1100000000000001</v>
      </c>
      <c r="N67" s="74">
        <f t="shared" si="16"/>
        <v>8.5057471264367815E-2</v>
      </c>
      <c r="O67" s="74">
        <f t="shared" si="17"/>
        <v>8.5057471264367823</v>
      </c>
      <c r="P67" s="130"/>
      <c r="Q67" s="132"/>
    </row>
    <row r="68" spans="2:17" ht="15.75" customHeight="1" x14ac:dyDescent="0.2">
      <c r="B68" s="139">
        <v>9.15</v>
      </c>
      <c r="C68" s="73">
        <v>48.9</v>
      </c>
      <c r="D68" s="74">
        <f t="shared" si="12"/>
        <v>1.1579171698515307</v>
      </c>
      <c r="E68" s="74">
        <f t="shared" si="13"/>
        <v>115.79171698515307</v>
      </c>
      <c r="F68" s="129">
        <f>AVERAGE(E68:E69)</f>
        <v>97.321872558073437</v>
      </c>
      <c r="G68" s="131">
        <f>_xlfn.STDEV.S(E68:E69)</f>
        <v>26.120304483697165</v>
      </c>
      <c r="H68" s="73">
        <v>614</v>
      </c>
      <c r="I68" s="74">
        <f t="shared" si="14"/>
        <v>0.88397471889891877</v>
      </c>
      <c r="J68" s="74">
        <f t="shared" si="15"/>
        <v>88.397471889891889</v>
      </c>
      <c r="K68" s="129">
        <f>AVERAGE(J68:J69)</f>
        <v>89.549230481291119</v>
      </c>
      <c r="L68" s="131">
        <f>_xlfn.STDEV.S(J68:J69)</f>
        <v>1.628832620536532</v>
      </c>
      <c r="M68" s="75">
        <v>1.1100000000000001</v>
      </c>
      <c r="N68" s="74">
        <f t="shared" si="16"/>
        <v>8.5057471264367815E-2</v>
      </c>
      <c r="O68" s="74">
        <f t="shared" si="17"/>
        <v>8.5057471264367823</v>
      </c>
      <c r="P68" s="129">
        <f>AVERAGE(O68)</f>
        <v>8.5057471264367823</v>
      </c>
      <c r="Q68" s="131" t="e">
        <f>_xlfn.STDEV.S(O68)</f>
        <v>#DIV/0!</v>
      </c>
    </row>
    <row r="69" spans="2:17" ht="15.75" customHeight="1" x14ac:dyDescent="0.2">
      <c r="B69" s="140"/>
      <c r="C69" s="73">
        <v>33.299999999999997</v>
      </c>
      <c r="D69" s="74">
        <f t="shared" si="12"/>
        <v>0.78852028130993812</v>
      </c>
      <c r="E69" s="74">
        <f t="shared" si="13"/>
        <v>78.852028130993816</v>
      </c>
      <c r="F69" s="130"/>
      <c r="G69" s="132"/>
      <c r="H69" s="73">
        <v>630</v>
      </c>
      <c r="I69" s="74">
        <f t="shared" si="14"/>
        <v>0.90700989072690363</v>
      </c>
      <c r="J69" s="74">
        <f t="shared" si="15"/>
        <v>90.700989072690362</v>
      </c>
      <c r="K69" s="130"/>
      <c r="L69" s="132"/>
      <c r="M69" s="75">
        <v>4.07</v>
      </c>
      <c r="N69" s="74">
        <f t="shared" si="16"/>
        <v>0.31187739463601533</v>
      </c>
      <c r="O69" s="74">
        <f t="shared" si="17"/>
        <v>31.187739463601535</v>
      </c>
      <c r="P69" s="130"/>
      <c r="Q69" s="132"/>
    </row>
    <row r="70" spans="2:17" ht="15.75" customHeight="1" x14ac:dyDescent="0.2">
      <c r="B70" s="139">
        <v>11.46</v>
      </c>
      <c r="C70" s="73">
        <v>26.3</v>
      </c>
      <c r="D70" s="74">
        <f t="shared" si="12"/>
        <v>0.62276526722076198</v>
      </c>
      <c r="E70" s="74">
        <f t="shared" si="13"/>
        <v>62.276526722076206</v>
      </c>
      <c r="F70" s="129">
        <f>AVERAGE(E70:E71)</f>
        <v>68.314745092467618</v>
      </c>
      <c r="G70" s="131">
        <f>_xlfn.STDEV.S(E70:E71)</f>
        <v>8.539330311977908</v>
      </c>
      <c r="H70" s="73">
        <v>159</v>
      </c>
      <c r="I70" s="74">
        <f t="shared" si="14"/>
        <v>0.22891202004059949</v>
      </c>
      <c r="J70" s="74">
        <f t="shared" si="15"/>
        <v>22.891202004059949</v>
      </c>
      <c r="K70" s="129">
        <f>AVERAGE(J70:J71)</f>
        <v>33.18504441469068</v>
      </c>
      <c r="L70" s="131">
        <f>_xlfn.STDEV.S(J70:J71)</f>
        <v>14.557691546045346</v>
      </c>
      <c r="M70" s="75">
        <v>0.37</v>
      </c>
      <c r="N70" s="74">
        <f t="shared" si="16"/>
        <v>2.8352490421455937E-2</v>
      </c>
      <c r="O70" s="74">
        <f t="shared" si="17"/>
        <v>2.8352490421455943</v>
      </c>
      <c r="P70" s="129">
        <f>AVERAGE(O70)</f>
        <v>2.8352490421455943</v>
      </c>
      <c r="Q70" s="131" t="e">
        <f>_xlfn.STDEV.S(O70)</f>
        <v>#DIV/0!</v>
      </c>
    </row>
    <row r="71" spans="2:17" ht="15.75" customHeight="1" x14ac:dyDescent="0.2">
      <c r="B71" s="140"/>
      <c r="C71" s="73">
        <v>31.4</v>
      </c>
      <c r="D71" s="74">
        <f t="shared" si="12"/>
        <v>0.74352963462859034</v>
      </c>
      <c r="E71" s="74">
        <f t="shared" si="13"/>
        <v>74.352963462859037</v>
      </c>
      <c r="F71" s="130"/>
      <c r="G71" s="132"/>
      <c r="H71" s="73">
        <v>302</v>
      </c>
      <c r="I71" s="74">
        <f t="shared" si="14"/>
        <v>0.43478886825321411</v>
      </c>
      <c r="J71" s="74">
        <f t="shared" si="15"/>
        <v>43.478886825321418</v>
      </c>
      <c r="K71" s="130"/>
      <c r="L71" s="132"/>
      <c r="M71" s="75">
        <v>9.6300000000000008</v>
      </c>
      <c r="N71" s="74">
        <f t="shared" si="16"/>
        <v>0.73793103448275865</v>
      </c>
      <c r="O71" s="74">
        <f t="shared" si="17"/>
        <v>73.793103448275872</v>
      </c>
      <c r="P71" s="130"/>
      <c r="Q71" s="132"/>
    </row>
    <row r="72" spans="2:17" ht="15.75" customHeight="1" x14ac:dyDescent="0.2">
      <c r="B72" s="139">
        <v>12.65</v>
      </c>
      <c r="C72" s="73">
        <v>3070</v>
      </c>
      <c r="D72" s="74">
        <f t="shared" si="12"/>
        <v>72.695413321967266</v>
      </c>
      <c r="E72" s="74">
        <f t="shared" si="13"/>
        <v>7269.5413321967271</v>
      </c>
      <c r="F72" s="129">
        <f>AVERAGE(E72:E73)</f>
        <v>6701.2384267481229</v>
      </c>
      <c r="G72" s="131">
        <f>_xlfn.STDEV.S(E72:E73)</f>
        <v>803.70167642145077</v>
      </c>
      <c r="H72" s="73">
        <v>15600</v>
      </c>
      <c r="I72" s="74">
        <f t="shared" si="14"/>
        <v>22.459292532285232</v>
      </c>
      <c r="J72" s="74">
        <f t="shared" si="15"/>
        <v>2245.9292532285235</v>
      </c>
      <c r="K72" s="129">
        <f>AVERAGE(J72:J73)</f>
        <v>1491.5273758620194</v>
      </c>
      <c r="L72" s="131">
        <f>_xlfn.STDEV.S(J72:J73)</f>
        <v>1066.8853664514343</v>
      </c>
      <c r="M72" s="75">
        <v>0.37</v>
      </c>
      <c r="N72" s="74">
        <f t="shared" si="16"/>
        <v>2.8352490421455937E-2</v>
      </c>
      <c r="O72" s="74">
        <f t="shared" si="17"/>
        <v>2.8352490421455943</v>
      </c>
      <c r="P72" s="129">
        <f>AVERAGE(O73)</f>
        <v>17.011494252873565</v>
      </c>
      <c r="Q72" s="131" t="e">
        <f>_xlfn.STDEV.S(O73)</f>
        <v>#DIV/0!</v>
      </c>
    </row>
    <row r="73" spans="2:17" ht="15.75" customHeight="1" x14ac:dyDescent="0.2">
      <c r="B73" s="141"/>
      <c r="C73" s="76">
        <v>2590</v>
      </c>
      <c r="D73" s="77">
        <f t="shared" si="12"/>
        <v>61.329355212995189</v>
      </c>
      <c r="E73" s="77">
        <f t="shared" si="13"/>
        <v>6132.9355212995188</v>
      </c>
      <c r="F73" s="133"/>
      <c r="G73" s="134"/>
      <c r="H73" s="76">
        <v>5120</v>
      </c>
      <c r="I73" s="77">
        <f t="shared" si="14"/>
        <v>7.3712549849551534</v>
      </c>
      <c r="J73" s="77">
        <f t="shared" si="15"/>
        <v>737.12549849551533</v>
      </c>
      <c r="K73" s="133"/>
      <c r="L73" s="134"/>
      <c r="M73" s="78">
        <v>2.2200000000000002</v>
      </c>
      <c r="N73" s="77">
        <f t="shared" si="16"/>
        <v>0.17011494252873563</v>
      </c>
      <c r="O73" s="77">
        <f t="shared" si="17"/>
        <v>17.011494252873565</v>
      </c>
      <c r="P73" s="133"/>
      <c r="Q73" s="134"/>
    </row>
    <row r="74" spans="2:17" ht="15.75" customHeight="1" x14ac:dyDescent="0.2"/>
    <row r="75" spans="2:17" ht="15.75" customHeight="1" x14ac:dyDescent="0.2"/>
    <row r="76" spans="2:17" ht="15.75" customHeight="1" x14ac:dyDescent="0.2"/>
    <row r="77" spans="2:17" ht="15.75" customHeight="1" x14ac:dyDescent="0.2"/>
    <row r="78" spans="2:17" ht="15.75" customHeight="1" x14ac:dyDescent="0.2"/>
    <row r="79" spans="2:17" ht="15.75" customHeight="1" x14ac:dyDescent="0.2"/>
    <row r="80" spans="2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66">
    <mergeCell ref="K60:K61"/>
    <mergeCell ref="L60:L61"/>
    <mergeCell ref="L62:L63"/>
    <mergeCell ref="K70:K71"/>
    <mergeCell ref="L70:L71"/>
    <mergeCell ref="K72:K73"/>
    <mergeCell ref="L72:L73"/>
    <mergeCell ref="K62:K63"/>
    <mergeCell ref="K64:K65"/>
    <mergeCell ref="L64:L65"/>
    <mergeCell ref="K66:K67"/>
    <mergeCell ref="L66:L67"/>
    <mergeCell ref="K68:K69"/>
    <mergeCell ref="L68:L69"/>
    <mergeCell ref="K50:K51"/>
    <mergeCell ref="K52:K53"/>
    <mergeCell ref="L52:L53"/>
    <mergeCell ref="K27:K28"/>
    <mergeCell ref="K29:K30"/>
    <mergeCell ref="K31:K32"/>
    <mergeCell ref="K40:K41"/>
    <mergeCell ref="L40:L41"/>
    <mergeCell ref="K42:K43"/>
    <mergeCell ref="L42:L43"/>
    <mergeCell ref="F25:F26"/>
    <mergeCell ref="G25:G26"/>
    <mergeCell ref="K19:K20"/>
    <mergeCell ref="K21:K22"/>
    <mergeCell ref="K23:K24"/>
    <mergeCell ref="L23:L24"/>
    <mergeCell ref="K25:K26"/>
    <mergeCell ref="L25:L26"/>
    <mergeCell ref="L27:L28"/>
    <mergeCell ref="K48:K49"/>
    <mergeCell ref="L48:L49"/>
    <mergeCell ref="L50:L51"/>
    <mergeCell ref="B58:Q58"/>
    <mergeCell ref="Q52:Q53"/>
    <mergeCell ref="P52:P53"/>
    <mergeCell ref="B3:G3"/>
    <mergeCell ref="B4:C4"/>
    <mergeCell ref="D4:E4"/>
    <mergeCell ref="F4:G4"/>
    <mergeCell ref="B11:C11"/>
    <mergeCell ref="D11:E11"/>
    <mergeCell ref="F11:G11"/>
    <mergeCell ref="B19:B20"/>
    <mergeCell ref="G19:G20"/>
    <mergeCell ref="L19:L20"/>
    <mergeCell ref="B21:B22"/>
    <mergeCell ref="G21:G22"/>
    <mergeCell ref="L21:L22"/>
    <mergeCell ref="F19:F20"/>
    <mergeCell ref="F21:F22"/>
    <mergeCell ref="B23:B24"/>
    <mergeCell ref="F23:F24"/>
    <mergeCell ref="G23:G24"/>
    <mergeCell ref="B70:B71"/>
    <mergeCell ref="B72:B73"/>
    <mergeCell ref="B46:B47"/>
    <mergeCell ref="B48:B49"/>
    <mergeCell ref="B50:B51"/>
    <mergeCell ref="B52:B53"/>
    <mergeCell ref="B60:B61"/>
    <mergeCell ref="B62:B63"/>
    <mergeCell ref="B64:B65"/>
    <mergeCell ref="B25:B26"/>
    <mergeCell ref="B27:B28"/>
    <mergeCell ref="B29:B30"/>
    <mergeCell ref="B31:B32"/>
    <mergeCell ref="B40:B41"/>
    <mergeCell ref="B42:B43"/>
    <mergeCell ref="B44:B45"/>
    <mergeCell ref="B66:B67"/>
    <mergeCell ref="B68:B69"/>
    <mergeCell ref="Y46:Z46"/>
    <mergeCell ref="AA46:AB46"/>
    <mergeCell ref="G44:G45"/>
    <mergeCell ref="K44:K45"/>
    <mergeCell ref="L44:L45"/>
    <mergeCell ref="P42:P43"/>
    <mergeCell ref="Q42:Q43"/>
    <mergeCell ref="P44:P45"/>
    <mergeCell ref="Q44:Q45"/>
    <mergeCell ref="K46:K47"/>
    <mergeCell ref="L46:L47"/>
    <mergeCell ref="G46:G47"/>
    <mergeCell ref="L29:L30"/>
    <mergeCell ref="L31:L32"/>
    <mergeCell ref="P29:P30"/>
    <mergeCell ref="B38:Q38"/>
    <mergeCell ref="P40:P41"/>
    <mergeCell ref="Q40:Q41"/>
    <mergeCell ref="S46:T46"/>
    <mergeCell ref="U46:V46"/>
    <mergeCell ref="W46:X46"/>
    <mergeCell ref="F44:F45"/>
    <mergeCell ref="F46:F47"/>
    <mergeCell ref="F70:F71"/>
    <mergeCell ref="G70:G71"/>
    <mergeCell ref="F72:F73"/>
    <mergeCell ref="G72:G73"/>
    <mergeCell ref="F52:F53"/>
    <mergeCell ref="F60:F61"/>
    <mergeCell ref="G60:G61"/>
    <mergeCell ref="F62:F63"/>
    <mergeCell ref="G62:G63"/>
    <mergeCell ref="F64:F65"/>
    <mergeCell ref="G64:G65"/>
    <mergeCell ref="F48:F49"/>
    <mergeCell ref="G48:G49"/>
    <mergeCell ref="F50:F51"/>
    <mergeCell ref="G50:G51"/>
    <mergeCell ref="G52:G53"/>
    <mergeCell ref="F66:F67"/>
    <mergeCell ref="G66:G67"/>
    <mergeCell ref="F68:F69"/>
    <mergeCell ref="G68:G69"/>
    <mergeCell ref="F27:F28"/>
    <mergeCell ref="G27:G28"/>
    <mergeCell ref="F29:F30"/>
    <mergeCell ref="G29:G30"/>
    <mergeCell ref="F31:F32"/>
    <mergeCell ref="G31:G32"/>
    <mergeCell ref="G40:G41"/>
    <mergeCell ref="G42:G43"/>
    <mergeCell ref="F40:F41"/>
    <mergeCell ref="F42:F43"/>
    <mergeCell ref="P46:P47"/>
    <mergeCell ref="Q46:Q47"/>
    <mergeCell ref="P48:P49"/>
    <mergeCell ref="Q48:Q49"/>
    <mergeCell ref="P50:P51"/>
    <mergeCell ref="P72:P73"/>
    <mergeCell ref="Q72:Q73"/>
    <mergeCell ref="P60:P61"/>
    <mergeCell ref="Q60:Q61"/>
    <mergeCell ref="P62:P63"/>
    <mergeCell ref="Q62:Q63"/>
    <mergeCell ref="P68:P69"/>
    <mergeCell ref="P70:P71"/>
    <mergeCell ref="P66:P67"/>
    <mergeCell ref="Q66:Q67"/>
    <mergeCell ref="Q50:Q51"/>
    <mergeCell ref="Q68:Q69"/>
    <mergeCell ref="Q70:Q71"/>
    <mergeCell ref="P64:P65"/>
    <mergeCell ref="Q64:Q65"/>
    <mergeCell ref="S39:T39"/>
    <mergeCell ref="U39:V39"/>
    <mergeCell ref="W39:X39"/>
    <mergeCell ref="Y39:Z39"/>
    <mergeCell ref="AA39:AB39"/>
    <mergeCell ref="P19:P20"/>
    <mergeCell ref="Q23:Q24"/>
    <mergeCell ref="P21:P22"/>
    <mergeCell ref="P23:P24"/>
    <mergeCell ref="P27:P28"/>
    <mergeCell ref="P25:P26"/>
    <mergeCell ref="Q25:Q26"/>
    <mergeCell ref="Q27:Q28"/>
    <mergeCell ref="Q29:Q30"/>
    <mergeCell ref="P31:P32"/>
    <mergeCell ref="Q31:Q32"/>
    <mergeCell ref="Q19:Q20"/>
    <mergeCell ref="Q21:Q2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000"/>
  <sheetViews>
    <sheetView workbookViewId="0"/>
  </sheetViews>
  <sheetFormatPr baseColWidth="10" defaultColWidth="11.1640625" defaultRowHeight="15" customHeight="1" x14ac:dyDescent="0.2"/>
  <cols>
    <col min="1" max="3" width="11" customWidth="1"/>
    <col min="4" max="4" width="11.6640625" customWidth="1"/>
    <col min="5" max="5" width="16.33203125" customWidth="1"/>
    <col min="6" max="6" width="14.83203125" customWidth="1"/>
    <col min="7" max="7" width="12" customWidth="1"/>
    <col min="8" max="8" width="11.1640625" customWidth="1"/>
    <col min="9" max="9" width="14.83203125" customWidth="1"/>
    <col min="10" max="10" width="17.5" customWidth="1"/>
    <col min="11" max="11" width="15.83203125" customWidth="1"/>
    <col min="12" max="12" width="12" customWidth="1"/>
    <col min="13" max="13" width="14.6640625" customWidth="1"/>
    <col min="14" max="14" width="15" customWidth="1"/>
    <col min="15" max="15" width="16.6640625" customWidth="1"/>
    <col min="16" max="16" width="18.83203125" customWidth="1"/>
    <col min="17" max="26" width="11" customWidth="1"/>
  </cols>
  <sheetData>
    <row r="1" spans="2:10" ht="15.75" customHeight="1" x14ac:dyDescent="0.2"/>
    <row r="2" spans="2:10" ht="15.75" customHeight="1" x14ac:dyDescent="0.2"/>
    <row r="3" spans="2:10" ht="15.75" customHeight="1" x14ac:dyDescent="0.2">
      <c r="B3" s="80" t="s">
        <v>109</v>
      </c>
      <c r="C3" s="81" t="s">
        <v>110</v>
      </c>
      <c r="D3" s="81" t="s">
        <v>111</v>
      </c>
      <c r="E3" s="81" t="s">
        <v>112</v>
      </c>
      <c r="F3" s="81" t="s">
        <v>113</v>
      </c>
      <c r="G3" s="82" t="s">
        <v>114</v>
      </c>
    </row>
    <row r="4" spans="2:10" ht="15.75" customHeight="1" x14ac:dyDescent="0.2">
      <c r="B4" s="83" t="s">
        <v>115</v>
      </c>
      <c r="C4" s="84">
        <v>250</v>
      </c>
      <c r="D4" s="84">
        <v>6.3</v>
      </c>
      <c r="E4" s="84">
        <f t="shared" ref="E4:E9" si="0">(D4/C4)*100</f>
        <v>2.52</v>
      </c>
      <c r="F4" s="146">
        <f>AVERAGE(E4:E5)</f>
        <v>2.3200000000000003</v>
      </c>
      <c r="G4" s="147">
        <f>_xlfn.STDEV.S(E4:E5)</f>
        <v>0.28284271247461895</v>
      </c>
    </row>
    <row r="5" spans="2:10" ht="15.75" customHeight="1" x14ac:dyDescent="0.2">
      <c r="B5" s="85" t="s">
        <v>116</v>
      </c>
      <c r="C5" s="86">
        <v>250</v>
      </c>
      <c r="D5" s="86">
        <v>5.3</v>
      </c>
      <c r="E5" s="86">
        <f t="shared" si="0"/>
        <v>2.12</v>
      </c>
      <c r="F5" s="130"/>
      <c r="G5" s="132"/>
    </row>
    <row r="6" spans="2:10" ht="15.75" customHeight="1" x14ac:dyDescent="0.2">
      <c r="B6" s="85" t="s">
        <v>117</v>
      </c>
      <c r="C6" s="86">
        <v>250</v>
      </c>
      <c r="D6" s="86">
        <v>61.8</v>
      </c>
      <c r="E6" s="86">
        <f t="shared" si="0"/>
        <v>24.72</v>
      </c>
      <c r="F6" s="148">
        <f>AVERAGE(E6:E7)</f>
        <v>24.939999999999998</v>
      </c>
      <c r="G6" s="149">
        <f>_xlfn.STDEV.S(E6:E7)</f>
        <v>0.31112698372208181</v>
      </c>
    </row>
    <row r="7" spans="2:10" ht="15.75" customHeight="1" x14ac:dyDescent="0.2">
      <c r="B7" s="85" t="s">
        <v>118</v>
      </c>
      <c r="C7" s="86">
        <v>250</v>
      </c>
      <c r="D7" s="86">
        <v>62.9</v>
      </c>
      <c r="E7" s="86">
        <f t="shared" si="0"/>
        <v>25.16</v>
      </c>
      <c r="F7" s="130"/>
      <c r="G7" s="132"/>
    </row>
    <row r="8" spans="2:10" ht="15.75" customHeight="1" x14ac:dyDescent="0.2">
      <c r="B8" s="85" t="s">
        <v>119</v>
      </c>
      <c r="C8" s="86">
        <v>250</v>
      </c>
      <c r="D8" s="86">
        <v>67.2</v>
      </c>
      <c r="E8" s="86">
        <f t="shared" si="0"/>
        <v>26.880000000000003</v>
      </c>
      <c r="F8" s="148">
        <f>AVERAGE(E8:E9)</f>
        <v>27.060000000000002</v>
      </c>
      <c r="G8" s="149">
        <f>_xlfn.STDEV.S(E8:E9)</f>
        <v>0.25455844122715421</v>
      </c>
    </row>
    <row r="9" spans="2:10" ht="15.75" customHeight="1" x14ac:dyDescent="0.2">
      <c r="B9" s="87" t="s">
        <v>120</v>
      </c>
      <c r="C9" s="88">
        <v>250</v>
      </c>
      <c r="D9" s="88">
        <v>68.099999999999994</v>
      </c>
      <c r="E9" s="88">
        <f t="shared" si="0"/>
        <v>27.24</v>
      </c>
      <c r="F9" s="133"/>
      <c r="G9" s="134"/>
    </row>
    <row r="10" spans="2:10" ht="15.75" customHeight="1" x14ac:dyDescent="0.2"/>
    <row r="11" spans="2:10" ht="15.75" customHeight="1" x14ac:dyDescent="0.2"/>
    <row r="12" spans="2:10" ht="15.75" customHeight="1" x14ac:dyDescent="0.2"/>
    <row r="13" spans="2:10" ht="15.75" customHeight="1" x14ac:dyDescent="0.2">
      <c r="B13" s="144" t="s">
        <v>98</v>
      </c>
      <c r="C13" s="119"/>
      <c r="D13" s="119"/>
      <c r="E13" s="119"/>
      <c r="F13" s="119"/>
      <c r="G13" s="118"/>
    </row>
    <row r="14" spans="2:10" ht="15.75" customHeight="1" x14ac:dyDescent="0.2">
      <c r="B14" s="150" t="s">
        <v>1</v>
      </c>
      <c r="C14" s="151"/>
      <c r="D14" s="144" t="s">
        <v>32</v>
      </c>
      <c r="E14" s="118"/>
      <c r="F14" s="144" t="s">
        <v>13</v>
      </c>
      <c r="G14" s="118"/>
    </row>
    <row r="15" spans="2:10" ht="15.75" customHeight="1" x14ac:dyDescent="0.2">
      <c r="B15" s="89" t="s">
        <v>14</v>
      </c>
      <c r="C15" s="90" t="s">
        <v>15</v>
      </c>
      <c r="D15" s="91" t="s">
        <v>14</v>
      </c>
      <c r="E15" s="92" t="s">
        <v>15</v>
      </c>
      <c r="F15" s="91" t="s">
        <v>14</v>
      </c>
      <c r="G15" s="92" t="s">
        <v>15</v>
      </c>
    </row>
    <row r="16" spans="2:10" ht="15.75" customHeight="1" x14ac:dyDescent="0.2">
      <c r="B16" s="93">
        <v>0.4</v>
      </c>
      <c r="C16" s="94">
        <v>4140</v>
      </c>
      <c r="D16" s="93">
        <v>0.4</v>
      </c>
      <c r="E16" s="94">
        <v>106000</v>
      </c>
      <c r="F16" s="93">
        <v>0.4</v>
      </c>
      <c r="G16" s="94">
        <v>8860</v>
      </c>
      <c r="J16" s="30">
        <f>((((((E27/100)*135.3)/1000)/31)*0.5*142/0.5)*100)</f>
        <v>4.7652383245065</v>
      </c>
    </row>
    <row r="17" spans="2:16" ht="15.75" customHeight="1" x14ac:dyDescent="0.2">
      <c r="B17" s="93">
        <v>0.8</v>
      </c>
      <c r="C17" s="94">
        <v>8300</v>
      </c>
      <c r="D17" s="93">
        <v>0.8</v>
      </c>
      <c r="E17" s="94">
        <v>203000</v>
      </c>
      <c r="F17" s="93">
        <v>0.8</v>
      </c>
      <c r="G17" s="94">
        <v>16100</v>
      </c>
    </row>
    <row r="18" spans="2:16" ht="15.75" customHeight="1" x14ac:dyDescent="0.2">
      <c r="B18" s="93">
        <v>1.2</v>
      </c>
      <c r="C18" s="94">
        <v>11200</v>
      </c>
      <c r="D18" s="93">
        <v>1.2</v>
      </c>
      <c r="E18" s="94">
        <v>300000</v>
      </c>
      <c r="F18" s="93">
        <v>1.2</v>
      </c>
      <c r="G18" s="94">
        <v>21600</v>
      </c>
    </row>
    <row r="19" spans="2:16" ht="15.75" customHeight="1" x14ac:dyDescent="0.2">
      <c r="B19" s="93">
        <v>1.6</v>
      </c>
      <c r="C19" s="94">
        <v>14900</v>
      </c>
      <c r="D19" s="93">
        <v>1.6</v>
      </c>
      <c r="E19" s="94">
        <v>395000</v>
      </c>
      <c r="F19" s="93">
        <v>1.6</v>
      </c>
      <c r="G19" s="94">
        <v>29000</v>
      </c>
    </row>
    <row r="20" spans="2:16" ht="15.75" customHeight="1" x14ac:dyDescent="0.2">
      <c r="B20" s="93">
        <v>2</v>
      </c>
      <c r="C20" s="94">
        <v>18700</v>
      </c>
      <c r="D20" s="93">
        <v>2</v>
      </c>
      <c r="E20" s="94">
        <v>513000</v>
      </c>
      <c r="F20" s="93">
        <v>2</v>
      </c>
      <c r="G20" s="94">
        <v>36700</v>
      </c>
    </row>
    <row r="21" spans="2:16" ht="15.75" customHeight="1" x14ac:dyDescent="0.2">
      <c r="B21" s="152" t="s">
        <v>121</v>
      </c>
      <c r="C21" s="153"/>
      <c r="D21" s="152" t="s">
        <v>122</v>
      </c>
      <c r="E21" s="153"/>
      <c r="F21" s="152" t="s">
        <v>123</v>
      </c>
      <c r="G21" s="153"/>
    </row>
    <row r="22" spans="2:16" ht="15.75" customHeight="1" x14ac:dyDescent="0.2"/>
    <row r="23" spans="2:16" ht="15.75" customHeight="1" x14ac:dyDescent="0.2"/>
    <row r="24" spans="2:16" ht="15.75" customHeight="1" x14ac:dyDescent="0.2">
      <c r="B24" s="120" t="s">
        <v>124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8"/>
    </row>
    <row r="25" spans="2:16" ht="15.75" customHeight="1" x14ac:dyDescent="0.2">
      <c r="B25" s="117" t="s">
        <v>13</v>
      </c>
      <c r="C25" s="119"/>
      <c r="D25" s="119"/>
      <c r="E25" s="119"/>
      <c r="F25" s="118"/>
      <c r="G25" s="117" t="s">
        <v>1</v>
      </c>
      <c r="H25" s="119"/>
      <c r="I25" s="119"/>
      <c r="J25" s="119"/>
      <c r="K25" s="118"/>
      <c r="L25" s="158" t="s">
        <v>32</v>
      </c>
      <c r="M25" s="119"/>
      <c r="N25" s="119"/>
      <c r="O25" s="119"/>
      <c r="P25" s="118"/>
    </row>
    <row r="26" spans="2:16" ht="15.75" customHeight="1" x14ac:dyDescent="0.2">
      <c r="B26" s="83" t="s">
        <v>103</v>
      </c>
      <c r="C26" s="84" t="s">
        <v>125</v>
      </c>
      <c r="D26" s="84" t="s">
        <v>126</v>
      </c>
      <c r="E26" s="84" t="s">
        <v>127</v>
      </c>
      <c r="F26" s="95" t="s">
        <v>128</v>
      </c>
      <c r="G26" s="83" t="s">
        <v>103</v>
      </c>
      <c r="H26" s="84" t="s">
        <v>129</v>
      </c>
      <c r="I26" s="84" t="s">
        <v>126</v>
      </c>
      <c r="J26" s="84" t="s">
        <v>127</v>
      </c>
      <c r="K26" s="95" t="s">
        <v>130</v>
      </c>
      <c r="L26" s="96" t="s">
        <v>103</v>
      </c>
      <c r="M26" s="97" t="s">
        <v>131</v>
      </c>
      <c r="N26" s="97" t="s">
        <v>126</v>
      </c>
      <c r="O26" s="97" t="s">
        <v>127</v>
      </c>
      <c r="P26" s="98" t="s">
        <v>130</v>
      </c>
    </row>
    <row r="27" spans="2:16" ht="15.75" customHeight="1" x14ac:dyDescent="0.2">
      <c r="B27" s="99">
        <v>176000</v>
      </c>
      <c r="C27" s="100">
        <f t="shared" ref="C27:C29" si="1">B27/18425</f>
        <v>9.5522388059701484</v>
      </c>
      <c r="D27" s="100">
        <f t="shared" ref="D27:D29" si="2">((C27*0.5))</f>
        <v>4.7761194029850742</v>
      </c>
      <c r="E27" s="159">
        <f>AVERAGE(D27:D29)</f>
        <v>7.6888285843509721</v>
      </c>
      <c r="F27" s="160">
        <f>((((((E27/100)*135.3)/1000)/31)*0.5*142/0.5)*100)</f>
        <v>4.7652383245065</v>
      </c>
      <c r="G27" s="99">
        <v>210000</v>
      </c>
      <c r="H27" s="100">
        <f t="shared" ref="H27:H29" si="3">G27/9429.1</f>
        <v>22.271478720132354</v>
      </c>
      <c r="I27" s="100">
        <f t="shared" ref="I27:I29" si="4">(((H27*0.5)))</f>
        <v>11.135739360066177</v>
      </c>
      <c r="J27" s="159">
        <f>AVERAGE(I27:I29)</f>
        <v>18.241401618394121</v>
      </c>
      <c r="K27" s="160">
        <f>(((J27/100)*135.3)/0.5)</f>
        <v>49.361232779374497</v>
      </c>
      <c r="L27" s="101">
        <v>4140000</v>
      </c>
      <c r="M27" s="102">
        <f t="shared" ref="M27:M29" si="5">L27/252591</f>
        <v>16.390132665059326</v>
      </c>
      <c r="N27" s="102">
        <f t="shared" ref="N27:N29" si="6">M27*0.5</f>
        <v>8.1950663325296631</v>
      </c>
      <c r="O27" s="154">
        <f>AVERAGE(N27:N29)</f>
        <v>13.625452477193036</v>
      </c>
      <c r="P27" s="156">
        <f>(((O27/100)*135.3)/0.5)</f>
        <v>36.870474403284362</v>
      </c>
    </row>
    <row r="28" spans="2:16" ht="15.75" customHeight="1" x14ac:dyDescent="0.2">
      <c r="B28" s="99">
        <v>298000</v>
      </c>
      <c r="C28" s="100">
        <f t="shared" si="1"/>
        <v>16.173677069199456</v>
      </c>
      <c r="D28" s="100">
        <f t="shared" si="2"/>
        <v>8.0868385345997282</v>
      </c>
      <c r="E28" s="155"/>
      <c r="F28" s="157"/>
      <c r="G28" s="99">
        <v>362000</v>
      </c>
      <c r="H28" s="100">
        <f t="shared" si="3"/>
        <v>38.391787127085301</v>
      </c>
      <c r="I28" s="100">
        <f t="shared" si="4"/>
        <v>19.195893563542651</v>
      </c>
      <c r="J28" s="155"/>
      <c r="K28" s="157"/>
      <c r="L28" s="101">
        <v>7160000</v>
      </c>
      <c r="M28" s="102">
        <f t="shared" si="5"/>
        <v>28.346219778218543</v>
      </c>
      <c r="N28" s="102">
        <f t="shared" si="6"/>
        <v>14.173109889109272</v>
      </c>
      <c r="O28" s="155"/>
      <c r="P28" s="157"/>
    </row>
    <row r="29" spans="2:16" ht="15.75" customHeight="1" x14ac:dyDescent="0.2">
      <c r="B29" s="103">
        <v>376000</v>
      </c>
      <c r="C29" s="104">
        <f t="shared" si="1"/>
        <v>20.407055630936227</v>
      </c>
      <c r="D29" s="104">
        <f t="shared" si="2"/>
        <v>10.203527815468114</v>
      </c>
      <c r="E29" s="133"/>
      <c r="F29" s="134"/>
      <c r="G29" s="103">
        <v>460000</v>
      </c>
      <c r="H29" s="104">
        <f t="shared" si="3"/>
        <v>48.785143863147063</v>
      </c>
      <c r="I29" s="104">
        <f t="shared" si="4"/>
        <v>24.392571931573531</v>
      </c>
      <c r="J29" s="133"/>
      <c r="K29" s="134"/>
      <c r="L29" s="105">
        <v>9350000</v>
      </c>
      <c r="M29" s="106">
        <f t="shared" si="5"/>
        <v>37.016362419880359</v>
      </c>
      <c r="N29" s="106">
        <f t="shared" si="6"/>
        <v>18.508181209940179</v>
      </c>
      <c r="O29" s="133"/>
      <c r="P29" s="134"/>
    </row>
    <row r="30" spans="2:16" ht="15.75" customHeight="1" x14ac:dyDescent="0.2"/>
    <row r="31" spans="2:16" ht="15.75" customHeight="1" x14ac:dyDescent="0.2"/>
    <row r="32" spans="2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B24:P24"/>
    <mergeCell ref="O27:O29"/>
    <mergeCell ref="P27:P29"/>
    <mergeCell ref="B25:F25"/>
    <mergeCell ref="G25:K25"/>
    <mergeCell ref="L25:P25"/>
    <mergeCell ref="E27:E29"/>
    <mergeCell ref="F27:F29"/>
    <mergeCell ref="J27:J29"/>
    <mergeCell ref="K27:K29"/>
    <mergeCell ref="B13:G13"/>
    <mergeCell ref="B14:C14"/>
    <mergeCell ref="D14:E14"/>
    <mergeCell ref="F14:G14"/>
    <mergeCell ref="B21:C21"/>
    <mergeCell ref="D21:E21"/>
    <mergeCell ref="F21:G21"/>
    <mergeCell ref="F4:F5"/>
    <mergeCell ref="G4:G5"/>
    <mergeCell ref="F6:F7"/>
    <mergeCell ref="G6:G7"/>
    <mergeCell ref="F8:F9"/>
    <mergeCell ref="G8:G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workbookViewId="0"/>
  </sheetViews>
  <sheetFormatPr baseColWidth="10" defaultColWidth="11.1640625" defaultRowHeight="15" customHeight="1" x14ac:dyDescent="0.2"/>
  <cols>
    <col min="1" max="26" width="11" customWidth="1"/>
  </cols>
  <sheetData>
    <row r="1" spans="2:7" ht="15.75" customHeight="1" x14ac:dyDescent="0.2"/>
    <row r="2" spans="2:7" ht="15.75" customHeight="1" x14ac:dyDescent="0.2"/>
    <row r="3" spans="2:7" ht="15.75" customHeight="1" x14ac:dyDescent="0.2"/>
    <row r="4" spans="2:7" ht="15.75" customHeight="1" x14ac:dyDescent="0.2"/>
    <row r="5" spans="2:7" ht="15.75" customHeight="1" x14ac:dyDescent="0.2"/>
    <row r="6" spans="2:7" ht="15.75" customHeight="1" x14ac:dyDescent="0.2"/>
    <row r="7" spans="2:7" ht="15.75" customHeight="1" x14ac:dyDescent="0.2"/>
    <row r="8" spans="2:7" ht="15.75" customHeight="1" x14ac:dyDescent="0.2">
      <c r="B8" s="28" t="s">
        <v>132</v>
      </c>
      <c r="C8" s="107" t="s">
        <v>133</v>
      </c>
      <c r="D8" s="81" t="s">
        <v>134</v>
      </c>
      <c r="E8" s="82" t="s">
        <v>135</v>
      </c>
    </row>
    <row r="9" spans="2:7" ht="15.75" customHeight="1" x14ac:dyDescent="0.2">
      <c r="B9" s="46" t="s">
        <v>1</v>
      </c>
      <c r="C9" s="108">
        <f>((49.36)/1000)</f>
        <v>4.9360000000000001E-2</v>
      </c>
      <c r="D9" s="109">
        <f>3.09/24.64</f>
        <v>0.12540584415584416</v>
      </c>
      <c r="E9" s="110">
        <f t="shared" ref="E9:E11" si="0">(C9/D9)*100</f>
        <v>39.360207119741098</v>
      </c>
    </row>
    <row r="10" spans="2:7" ht="15.75" customHeight="1" x14ac:dyDescent="0.2">
      <c r="B10" s="111" t="s">
        <v>32</v>
      </c>
      <c r="C10" s="112">
        <f>(36.87)/1000</f>
        <v>3.687E-2</v>
      </c>
      <c r="D10" s="100">
        <f>2.69/24.64</f>
        <v>0.10917207792207792</v>
      </c>
      <c r="E10" s="113">
        <f t="shared" si="0"/>
        <v>33.772371747211899</v>
      </c>
    </row>
    <row r="11" spans="2:7" ht="15.75" customHeight="1" x14ac:dyDescent="0.2">
      <c r="B11" s="114" t="s">
        <v>13</v>
      </c>
      <c r="C11" s="115">
        <f>(((7.69/0.5))/1000)</f>
        <v>1.5380000000000001E-2</v>
      </c>
      <c r="D11" s="104">
        <f>((5000*0.75)/1000)/24.64</f>
        <v>0.15219155844155843</v>
      </c>
      <c r="E11" s="116">
        <f t="shared" si="0"/>
        <v>10.105685333333335</v>
      </c>
    </row>
    <row r="12" spans="2:7" ht="15.75" customHeight="1" x14ac:dyDescent="0.2"/>
    <row r="13" spans="2:7" ht="15.75" customHeight="1" x14ac:dyDescent="0.2">
      <c r="B13" s="30" t="s">
        <v>136</v>
      </c>
      <c r="C13" s="6">
        <f>((((7.69/0.5))/1000)/31)*95</f>
        <v>4.7132258064516139E-2</v>
      </c>
    </row>
    <row r="14" spans="2:7" ht="15.75" customHeight="1" x14ac:dyDescent="0.2"/>
    <row r="15" spans="2:7" ht="15.75" customHeight="1" x14ac:dyDescent="0.2"/>
    <row r="16" spans="2:7" ht="15.75" customHeight="1" x14ac:dyDescent="0.2">
      <c r="G16" s="110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ICP-MS_BC-Filtrate</vt:lpstr>
      <vt:lpstr>PZC-Study</vt:lpstr>
      <vt:lpstr>Leaching-pH </vt:lpstr>
      <vt:lpstr>Ash content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Singh, Tajinder</cp:lastModifiedBy>
  <dcterms:created xsi:type="dcterms:W3CDTF">2022-06-10T22:38:18Z</dcterms:created>
  <dcterms:modified xsi:type="dcterms:W3CDTF">2025-09-30T15:57:55Z</dcterms:modified>
</cp:coreProperties>
</file>