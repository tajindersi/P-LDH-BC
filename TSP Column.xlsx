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h\Documents\MISSISSIPPI STATE UNIVERSITY\MSU RESEARCH\2022 - Summer - TJ\Figure 4 - Column\"/>
    </mc:Choice>
  </mc:AlternateContent>
  <xr:revisionPtr revIDLastSave="0" documentId="13_ncr:1_{AA10CBBD-DE9A-4B51-BC54-71BC2F32C5F7}" xr6:coauthVersionLast="47" xr6:coauthVersionMax="47" xr10:uidLastSave="{00000000-0000-0000-0000-000000000000}"/>
  <bookViews>
    <workbookView xWindow="-120" yWindow="-120" windowWidth="29040" windowHeight="15720" xr2:uid="{76FDCF73-C746-480D-B33C-F240234C54A9}"/>
  </bookViews>
  <sheets>
    <sheet name="TS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16" i="1"/>
  <c r="E5" i="1"/>
  <c r="F5" i="1" s="1"/>
  <c r="E6" i="1"/>
  <c r="F6" i="1" s="1"/>
  <c r="E7" i="1"/>
  <c r="F7" i="1" s="1"/>
  <c r="E8" i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4" i="1"/>
  <c r="F4" i="1" s="1"/>
  <c r="G4" i="1" s="1"/>
  <c r="G5" i="1" l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</calcChain>
</file>

<file path=xl/sharedStrings.xml><?xml version="1.0" encoding="utf-8"?>
<sst xmlns="http://schemas.openxmlformats.org/spreadsheetml/2006/main" count="8" uniqueCount="8">
  <si>
    <t>Volume (mL)</t>
  </si>
  <si>
    <t>Cumulative Volume (mL)</t>
  </si>
  <si>
    <t>P Intensity</t>
  </si>
  <si>
    <t>[P] / ppm</t>
  </si>
  <si>
    <t>Leached P (mg)</t>
  </si>
  <si>
    <t>Cumulative Leached P (mg)</t>
  </si>
  <si>
    <t>Leached P (mg/g)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</si>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</sst>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F0E3-A544-4102-B4D1-E59AE9B8632A}">
  <dimension ref="A1:P38"/>
  <sheetViews>
    <sheetView tabSelected="1" workbookViewId="0">
      <selection activeCell="J22" sqref="J22"/>
    </sheetView>
  </sheetViews>
  <sheetFormatPr defaultRowHeight="15" x14ac:dyDescent="0.25"/>
  <cols>
    <col min="2" max="2" width="14.85546875" customWidth="1"/>
    <col min="3" max="3" width="26.140625" customWidth="1"/>
    <col min="4" max="4" width="12.42578125" customWidth="1"/>
    <col min="5" max="5" width="13.42578125" customWidth="1"/>
    <col min="6" max="6" width="16.5703125" customWidth="1"/>
    <col min="7" max="7" width="27" customWidth="1"/>
    <col min="8" max="8" width="20.140625" customWidth="1"/>
    <col min="13" max="13" width="12.140625" customWidth="1"/>
  </cols>
  <sheetData>
    <row r="1" spans="1:16" x14ac:dyDescent="0.25">
      <c r="M1" s="1"/>
      <c r="N1" s="1"/>
      <c r="O1" s="1"/>
      <c r="P1" s="1"/>
    </row>
    <row r="2" spans="1:16" x14ac:dyDescent="0.25">
      <c r="M2" s="1"/>
      <c r="N2" s="1"/>
      <c r="O2" s="1"/>
      <c r="P2" s="1"/>
    </row>
    <row r="3" spans="1:16" x14ac:dyDescent="0.25">
      <c r="A3" s="2" t="s">
        <v>7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M3" s="1"/>
      <c r="N3" s="1"/>
      <c r="O3" s="1"/>
      <c r="P3" s="1"/>
    </row>
    <row r="4" spans="1:16" x14ac:dyDescent="0.25">
      <c r="A4" s="2">
        <v>1</v>
      </c>
      <c r="B4" s="2">
        <v>64</v>
      </c>
      <c r="C4" s="2">
        <f>B4</f>
        <v>64</v>
      </c>
      <c r="D4" s="2">
        <v>1560000</v>
      </c>
      <c r="E4" s="2">
        <f>D4/32059</f>
        <v>48.660282603948971</v>
      </c>
      <c r="F4" s="2">
        <f>E4*B4/1000</f>
        <v>3.1142580866527343</v>
      </c>
      <c r="G4" s="2">
        <f>F4</f>
        <v>3.1142580866527343</v>
      </c>
      <c r="H4" s="2">
        <v>5.3066605559999998</v>
      </c>
    </row>
    <row r="5" spans="1:16" x14ac:dyDescent="0.25">
      <c r="A5" s="2">
        <v>2</v>
      </c>
      <c r="B5" s="2">
        <v>63</v>
      </c>
      <c r="C5" s="2">
        <f>C4+B5</f>
        <v>127</v>
      </c>
      <c r="D5" s="2">
        <v>577000</v>
      </c>
      <c r="E5" s="2">
        <f t="shared" ref="E5:E38" si="0">D5/32059</f>
        <v>17.998066065691383</v>
      </c>
      <c r="F5" s="2">
        <f t="shared" ref="F5:F38" si="1">E5*B5/1000</f>
        <v>1.1338781621385572</v>
      </c>
      <c r="G5" s="2">
        <f>G4+F5</f>
        <v>4.2481362487912913</v>
      </c>
      <c r="H5" s="2">
        <v>7.100233061</v>
      </c>
    </row>
    <row r="6" spans="1:16" x14ac:dyDescent="0.25">
      <c r="A6" s="2">
        <v>3</v>
      </c>
      <c r="B6" s="2">
        <v>57</v>
      </c>
      <c r="C6" s="2">
        <f>C5+B6</f>
        <v>184</v>
      </c>
      <c r="D6" s="2">
        <v>536000</v>
      </c>
      <c r="E6" s="2">
        <f t="shared" si="0"/>
        <v>16.719174022895288</v>
      </c>
      <c r="F6" s="2">
        <f t="shared" si="1"/>
        <v>0.95299291930503138</v>
      </c>
      <c r="G6" s="2">
        <f t="shared" ref="G6:G38" si="2">G5+F6</f>
        <v>5.2011291680963225</v>
      </c>
      <c r="H6" s="2">
        <v>8.7925669390000003</v>
      </c>
      <c r="M6" s="1"/>
    </row>
    <row r="7" spans="1:16" x14ac:dyDescent="0.25">
      <c r="A7" s="2">
        <v>4</v>
      </c>
      <c r="B7" s="2">
        <v>68</v>
      </c>
      <c r="C7" s="2">
        <f t="shared" ref="C7:C38" si="3">C6+B7</f>
        <v>252</v>
      </c>
      <c r="D7" s="2">
        <v>504000</v>
      </c>
      <c r="E7" s="2">
        <f t="shared" si="0"/>
        <v>15.72101437973736</v>
      </c>
      <c r="F7" s="2">
        <f t="shared" si="1"/>
        <v>1.0690289778221405</v>
      </c>
      <c r="G7" s="2">
        <f t="shared" si="2"/>
        <v>6.2701581459184634</v>
      </c>
      <c r="H7" s="2">
        <v>10.36534861</v>
      </c>
      <c r="M7" s="1"/>
    </row>
    <row r="8" spans="1:16" x14ac:dyDescent="0.25">
      <c r="A8" s="2">
        <v>5</v>
      </c>
      <c r="B8" s="2">
        <v>62</v>
      </c>
      <c r="C8" s="2">
        <f t="shared" si="3"/>
        <v>314</v>
      </c>
      <c r="D8" s="2">
        <v>477000</v>
      </c>
      <c r="E8" s="2">
        <f t="shared" si="0"/>
        <v>14.878817180822859</v>
      </c>
      <c r="F8" s="2">
        <f t="shared" si="1"/>
        <v>0.92248666521101719</v>
      </c>
      <c r="G8" s="2">
        <f t="shared" si="2"/>
        <v>7.1926448111294805</v>
      </c>
      <c r="H8" s="2">
        <v>11.8422874</v>
      </c>
    </row>
    <row r="9" spans="1:16" x14ac:dyDescent="0.25">
      <c r="A9" s="2">
        <v>6</v>
      </c>
      <c r="B9" s="2">
        <v>59</v>
      </c>
      <c r="C9" s="2">
        <f t="shared" si="3"/>
        <v>373</v>
      </c>
      <c r="D9" s="2">
        <v>451000</v>
      </c>
      <c r="E9" s="2">
        <f t="shared" si="0"/>
        <v>14.067812470757042</v>
      </c>
      <c r="F9" s="2">
        <f t="shared" si="1"/>
        <v>0.83000093577466538</v>
      </c>
      <c r="G9" s="2">
        <f t="shared" si="2"/>
        <v>8.0226457469041463</v>
      </c>
      <c r="H9" s="2">
        <v>13.197212439999999</v>
      </c>
    </row>
    <row r="10" spans="1:16" x14ac:dyDescent="0.25">
      <c r="A10" s="2">
        <v>7</v>
      </c>
      <c r="B10" s="2">
        <v>63</v>
      </c>
      <c r="C10" s="2">
        <f t="shared" si="3"/>
        <v>436</v>
      </c>
      <c r="D10" s="2">
        <v>426000</v>
      </c>
      <c r="E10" s="2">
        <f t="shared" si="0"/>
        <v>13.288000249539911</v>
      </c>
      <c r="F10" s="2">
        <f t="shared" si="1"/>
        <v>0.83714401572101438</v>
      </c>
      <c r="G10" s="2">
        <f t="shared" si="2"/>
        <v>8.8597897626251605</v>
      </c>
      <c r="H10" s="2">
        <v>14.452127000000001</v>
      </c>
    </row>
    <row r="11" spans="1:16" x14ac:dyDescent="0.25">
      <c r="A11" s="2">
        <v>8</v>
      </c>
      <c r="B11" s="2">
        <v>67</v>
      </c>
      <c r="C11" s="2">
        <f t="shared" si="3"/>
        <v>503</v>
      </c>
      <c r="D11" s="2">
        <v>401000</v>
      </c>
      <c r="E11" s="2">
        <f t="shared" si="0"/>
        <v>12.508188028322779</v>
      </c>
      <c r="F11" s="2">
        <f t="shared" si="1"/>
        <v>0.8380485978976262</v>
      </c>
      <c r="G11" s="2">
        <f t="shared" si="2"/>
        <v>9.6978383605227876</v>
      </c>
      <c r="H11" s="2">
        <v>15.643234039999999</v>
      </c>
    </row>
    <row r="12" spans="1:16" x14ac:dyDescent="0.25">
      <c r="A12" s="2">
        <v>9</v>
      </c>
      <c r="B12" s="2">
        <v>66</v>
      </c>
      <c r="C12" s="2">
        <f t="shared" si="3"/>
        <v>569</v>
      </c>
      <c r="D12" s="2">
        <v>387000</v>
      </c>
      <c r="E12" s="2">
        <f t="shared" si="0"/>
        <v>12.071493184441186</v>
      </c>
      <c r="F12" s="2">
        <f t="shared" si="1"/>
        <v>0.79671855017311832</v>
      </c>
      <c r="G12" s="2">
        <f t="shared" si="2"/>
        <v>10.494556910695906</v>
      </c>
      <c r="H12" s="2">
        <v>16.779082160000002</v>
      </c>
    </row>
    <row r="13" spans="1:16" x14ac:dyDescent="0.25">
      <c r="A13" s="2">
        <v>10</v>
      </c>
      <c r="B13" s="2">
        <v>63</v>
      </c>
      <c r="C13" s="2">
        <f t="shared" si="3"/>
        <v>632</v>
      </c>
      <c r="D13" s="2">
        <v>368000</v>
      </c>
      <c r="E13" s="2">
        <f t="shared" si="0"/>
        <v>11.478835896316166</v>
      </c>
      <c r="F13" s="2">
        <f t="shared" si="1"/>
        <v>0.72316666146791853</v>
      </c>
      <c r="G13" s="2">
        <f t="shared" si="2"/>
        <v>11.217723572163823</v>
      </c>
      <c r="H13" s="2">
        <v>17.811514240000001</v>
      </c>
    </row>
    <row r="14" spans="1:16" x14ac:dyDescent="0.25">
      <c r="A14" s="2">
        <v>11</v>
      </c>
      <c r="B14" s="2">
        <v>63</v>
      </c>
      <c r="C14" s="2">
        <f t="shared" si="3"/>
        <v>695</v>
      </c>
      <c r="D14" s="2">
        <v>326400</v>
      </c>
      <c r="E14" s="2">
        <f t="shared" si="0"/>
        <v>10.181228360210861</v>
      </c>
      <c r="F14" s="2">
        <f t="shared" si="1"/>
        <v>0.6414173866932843</v>
      </c>
      <c r="G14" s="2">
        <f t="shared" si="2"/>
        <v>11.859140958857108</v>
      </c>
      <c r="H14" s="2">
        <v>18.781181010000001</v>
      </c>
    </row>
    <row r="15" spans="1:16" x14ac:dyDescent="0.25">
      <c r="A15" s="2">
        <v>12</v>
      </c>
      <c r="B15" s="2">
        <v>67</v>
      </c>
      <c r="C15" s="2">
        <f t="shared" si="3"/>
        <v>762</v>
      </c>
      <c r="D15" s="2">
        <v>317000</v>
      </c>
      <c r="E15" s="2">
        <f t="shared" si="0"/>
        <v>9.8880189650332202</v>
      </c>
      <c r="F15" s="2">
        <f t="shared" si="1"/>
        <v>0.66249727065722575</v>
      </c>
      <c r="G15" s="2">
        <f t="shared" si="2"/>
        <v>12.521638229514334</v>
      </c>
      <c r="H15" s="2">
        <v>19.646166940000001</v>
      </c>
    </row>
    <row r="16" spans="1:16" x14ac:dyDescent="0.25">
      <c r="A16" s="2">
        <v>13</v>
      </c>
      <c r="B16" s="2">
        <v>66</v>
      </c>
      <c r="C16" s="2">
        <f t="shared" si="3"/>
        <v>828</v>
      </c>
      <c r="D16" s="2">
        <v>292800</v>
      </c>
      <c r="E16" s="2">
        <f t="shared" si="0"/>
        <v>9.1331607348950374</v>
      </c>
      <c r="F16" s="2">
        <f t="shared" si="1"/>
        <v>0.60278860850307248</v>
      </c>
      <c r="G16" s="2">
        <f t="shared" si="2"/>
        <v>13.124426838017406</v>
      </c>
      <c r="H16" s="2">
        <v>20.43520131</v>
      </c>
    </row>
    <row r="17" spans="1:8" x14ac:dyDescent="0.25">
      <c r="A17" s="2">
        <v>14</v>
      </c>
      <c r="B17" s="2">
        <v>61</v>
      </c>
      <c r="C17" s="2">
        <f t="shared" si="3"/>
        <v>889</v>
      </c>
      <c r="D17" s="2">
        <v>253200</v>
      </c>
      <c r="E17" s="2">
        <f t="shared" si="0"/>
        <v>7.8979381764871022</v>
      </c>
      <c r="F17" s="2">
        <f t="shared" si="1"/>
        <v>0.48177422876571324</v>
      </c>
      <c r="G17" s="2">
        <f t="shared" si="2"/>
        <v>13.60620106678312</v>
      </c>
      <c r="H17" s="2">
        <v>21.146494270000002</v>
      </c>
    </row>
    <row r="18" spans="1:8" x14ac:dyDescent="0.25">
      <c r="A18" s="2">
        <v>15</v>
      </c>
      <c r="B18" s="2">
        <v>59</v>
      </c>
      <c r="C18" s="2">
        <f t="shared" si="3"/>
        <v>948</v>
      </c>
      <c r="D18" s="2">
        <v>257400</v>
      </c>
      <c r="E18" s="2">
        <f t="shared" si="0"/>
        <v>8.0289466296515801</v>
      </c>
      <c r="F18" s="2">
        <f t="shared" si="1"/>
        <v>0.47370785114944325</v>
      </c>
      <c r="G18" s="2">
        <f t="shared" si="2"/>
        <v>14.079908917932563</v>
      </c>
      <c r="H18" s="2">
        <v>21.796412440000001</v>
      </c>
    </row>
    <row r="19" spans="1:8" x14ac:dyDescent="0.25">
      <c r="A19" s="2">
        <v>16</v>
      </c>
      <c r="B19" s="2">
        <v>67</v>
      </c>
      <c r="C19" s="2">
        <f t="shared" si="3"/>
        <v>1015</v>
      </c>
      <c r="D19" s="2">
        <v>242800</v>
      </c>
      <c r="E19" s="2">
        <f t="shared" si="0"/>
        <v>7.5735362924607754</v>
      </c>
      <c r="F19" s="2">
        <f t="shared" si="1"/>
        <v>0.50742693159487195</v>
      </c>
      <c r="G19" s="2">
        <f t="shared" si="2"/>
        <v>14.587335849527435</v>
      </c>
      <c r="H19" s="2">
        <v>22.409505729999999</v>
      </c>
    </row>
    <row r="20" spans="1:8" x14ac:dyDescent="0.25">
      <c r="A20" s="2">
        <v>17</v>
      </c>
      <c r="B20" s="2">
        <v>62</v>
      </c>
      <c r="C20" s="2">
        <f t="shared" si="3"/>
        <v>1077</v>
      </c>
      <c r="D20" s="2">
        <v>233700</v>
      </c>
      <c r="E20" s="2">
        <f t="shared" si="0"/>
        <v>7.2896846439377398</v>
      </c>
      <c r="F20" s="2">
        <f t="shared" si="1"/>
        <v>0.45196044792413986</v>
      </c>
      <c r="G20" s="2">
        <f t="shared" si="2"/>
        <v>15.039296297451575</v>
      </c>
      <c r="H20" s="2">
        <v>22.973499180000001</v>
      </c>
    </row>
    <row r="21" spans="1:8" x14ac:dyDescent="0.25">
      <c r="A21" s="2">
        <v>18</v>
      </c>
      <c r="B21" s="2">
        <v>69</v>
      </c>
      <c r="C21" s="2">
        <f t="shared" si="3"/>
        <v>1146</v>
      </c>
      <c r="D21" s="2">
        <v>136660</v>
      </c>
      <c r="E21" s="2">
        <f t="shared" si="0"/>
        <v>4.2627655260613242</v>
      </c>
      <c r="F21" s="2">
        <f t="shared" si="1"/>
        <v>0.29413082129823137</v>
      </c>
      <c r="G21" s="2">
        <f t="shared" si="2"/>
        <v>15.333427118749807</v>
      </c>
      <c r="H21" s="2">
        <v>23.50488511</v>
      </c>
    </row>
    <row r="22" spans="1:8" x14ac:dyDescent="0.25">
      <c r="A22" s="2">
        <v>19</v>
      </c>
      <c r="B22" s="2">
        <v>64</v>
      </c>
      <c r="C22" s="2">
        <f t="shared" si="3"/>
        <v>1210</v>
      </c>
      <c r="D22" s="2">
        <v>207700</v>
      </c>
      <c r="E22" s="2">
        <f t="shared" si="0"/>
        <v>6.4786799338719234</v>
      </c>
      <c r="F22" s="2">
        <f t="shared" si="1"/>
        <v>0.41463551576780311</v>
      </c>
      <c r="G22" s="2">
        <f t="shared" si="2"/>
        <v>15.748062634517609</v>
      </c>
      <c r="H22" s="2">
        <v>23.99113715</v>
      </c>
    </row>
    <row r="23" spans="1:8" x14ac:dyDescent="0.25">
      <c r="A23" s="2">
        <v>20</v>
      </c>
      <c r="B23" s="2">
        <v>66</v>
      </c>
      <c r="C23" s="2">
        <f t="shared" si="3"/>
        <v>1276</v>
      </c>
      <c r="D23" s="2">
        <v>200100</v>
      </c>
      <c r="E23" s="2">
        <f t="shared" si="0"/>
        <v>6.2416170186219162</v>
      </c>
      <c r="F23" s="2">
        <f t="shared" si="1"/>
        <v>0.41194672322904646</v>
      </c>
      <c r="G23" s="2">
        <f t="shared" si="2"/>
        <v>16.160009357746656</v>
      </c>
      <c r="H23" s="2">
        <v>24.43238101</v>
      </c>
    </row>
    <row r="24" spans="1:8" x14ac:dyDescent="0.25">
      <c r="A24" s="2">
        <v>21</v>
      </c>
      <c r="B24" s="2">
        <v>65</v>
      </c>
      <c r="C24" s="2">
        <f t="shared" si="3"/>
        <v>1341</v>
      </c>
      <c r="D24" s="2">
        <v>192500</v>
      </c>
      <c r="E24" s="2">
        <f t="shared" si="0"/>
        <v>6.0045541033719081</v>
      </c>
      <c r="F24" s="2">
        <f t="shared" si="1"/>
        <v>0.39029601671917402</v>
      </c>
      <c r="G24" s="2">
        <f t="shared" si="2"/>
        <v>16.550305374465829</v>
      </c>
      <c r="H24" s="2">
        <v>24.849074959999999</v>
      </c>
    </row>
    <row r="25" spans="1:8" x14ac:dyDescent="0.25">
      <c r="A25" s="2">
        <v>22</v>
      </c>
      <c r="B25" s="2">
        <v>59</v>
      </c>
      <c r="C25" s="2">
        <f t="shared" si="3"/>
        <v>1400</v>
      </c>
      <c r="D25" s="2">
        <v>181800</v>
      </c>
      <c r="E25" s="2">
        <f t="shared" si="0"/>
        <v>5.670794472690976</v>
      </c>
      <c r="F25" s="2">
        <f t="shared" si="1"/>
        <v>0.33457687388876756</v>
      </c>
      <c r="G25" s="2">
        <f t="shared" si="2"/>
        <v>16.884882248354597</v>
      </c>
      <c r="H25" s="2">
        <v>25.24498985</v>
      </c>
    </row>
    <row r="26" spans="1:8" x14ac:dyDescent="0.25">
      <c r="A26" s="2">
        <v>23</v>
      </c>
      <c r="B26" s="2">
        <v>68</v>
      </c>
      <c r="C26" s="2">
        <f t="shared" si="3"/>
        <v>1468</v>
      </c>
      <c r="D26" s="2">
        <v>161600</v>
      </c>
      <c r="E26" s="2">
        <f t="shared" si="0"/>
        <v>5.0407061979475341</v>
      </c>
      <c r="F26" s="2">
        <f t="shared" si="1"/>
        <v>0.34276802146043228</v>
      </c>
      <c r="G26" s="2">
        <f t="shared" si="2"/>
        <v>17.22765026981503</v>
      </c>
      <c r="H26" s="2">
        <v>25.634419640000001</v>
      </c>
    </row>
    <row r="27" spans="1:8" x14ac:dyDescent="0.25">
      <c r="A27" s="2">
        <v>24</v>
      </c>
      <c r="B27" s="2">
        <v>63</v>
      </c>
      <c r="C27" s="2">
        <f t="shared" si="3"/>
        <v>1531</v>
      </c>
      <c r="D27" s="2">
        <v>164100</v>
      </c>
      <c r="E27" s="2">
        <f t="shared" si="0"/>
        <v>5.1186874200692474</v>
      </c>
      <c r="F27" s="2">
        <f t="shared" si="1"/>
        <v>0.32247730746436259</v>
      </c>
      <c r="G27" s="2">
        <f t="shared" si="2"/>
        <v>17.550127577279394</v>
      </c>
      <c r="H27" s="2">
        <v>26.008395419999999</v>
      </c>
    </row>
    <row r="28" spans="1:8" x14ac:dyDescent="0.25">
      <c r="A28" s="2">
        <v>25</v>
      </c>
      <c r="B28" s="2">
        <v>62</v>
      </c>
      <c r="C28" s="2">
        <f t="shared" si="3"/>
        <v>1593</v>
      </c>
      <c r="D28" s="2">
        <v>146600</v>
      </c>
      <c r="E28" s="2">
        <f t="shared" si="0"/>
        <v>4.5728188652172559</v>
      </c>
      <c r="F28" s="2">
        <f t="shared" si="1"/>
        <v>0.28351476964346989</v>
      </c>
      <c r="G28" s="2">
        <f t="shared" si="2"/>
        <v>17.833642346922865</v>
      </c>
      <c r="H28" s="2">
        <v>26.35692439</v>
      </c>
    </row>
    <row r="29" spans="1:8" x14ac:dyDescent="0.25">
      <c r="A29" s="2">
        <v>26</v>
      </c>
      <c r="B29" s="2">
        <v>68</v>
      </c>
      <c r="C29" s="2">
        <f t="shared" si="3"/>
        <v>1661</v>
      </c>
      <c r="D29" s="2">
        <v>137400</v>
      </c>
      <c r="E29" s="2">
        <f t="shared" si="0"/>
        <v>4.2858479678093513</v>
      </c>
      <c r="F29" s="2">
        <f t="shared" si="1"/>
        <v>0.29143766181103586</v>
      </c>
      <c r="G29" s="2">
        <f t="shared" si="2"/>
        <v>18.125080008733899</v>
      </c>
      <c r="H29" s="2">
        <v>26.670849100000002</v>
      </c>
    </row>
    <row r="30" spans="1:8" x14ac:dyDescent="0.25">
      <c r="A30" s="2">
        <v>27</v>
      </c>
      <c r="B30" s="2">
        <v>65</v>
      </c>
      <c r="C30" s="2">
        <f t="shared" si="3"/>
        <v>1726</v>
      </c>
      <c r="D30" s="2">
        <v>121700</v>
      </c>
      <c r="E30" s="2">
        <f t="shared" si="0"/>
        <v>3.7961258928849935</v>
      </c>
      <c r="F30" s="2">
        <f t="shared" si="1"/>
        <v>0.24674818303752458</v>
      </c>
      <c r="G30" s="2">
        <f t="shared" si="2"/>
        <v>18.371828191771424</v>
      </c>
      <c r="H30" s="2">
        <v>26.963816040000001</v>
      </c>
    </row>
    <row r="31" spans="1:8" x14ac:dyDescent="0.25">
      <c r="A31" s="2">
        <v>28</v>
      </c>
      <c r="B31" s="2">
        <v>59</v>
      </c>
      <c r="C31" s="2">
        <f t="shared" si="3"/>
        <v>1785</v>
      </c>
      <c r="D31" s="2">
        <v>117500</v>
      </c>
      <c r="E31" s="2">
        <f t="shared" si="0"/>
        <v>3.6651174397205155</v>
      </c>
      <c r="F31" s="2">
        <f t="shared" si="1"/>
        <v>0.21624192894351041</v>
      </c>
      <c r="G31" s="2">
        <f t="shared" si="2"/>
        <v>18.588070120714935</v>
      </c>
      <c r="H31" s="2">
        <v>27.225598040000001</v>
      </c>
    </row>
    <row r="32" spans="1:8" x14ac:dyDescent="0.25">
      <c r="A32" s="2">
        <v>29</v>
      </c>
      <c r="B32" s="2">
        <v>63</v>
      </c>
      <c r="C32" s="2">
        <f t="shared" si="3"/>
        <v>1848</v>
      </c>
      <c r="D32" s="2">
        <v>122700</v>
      </c>
      <c r="E32" s="2">
        <f t="shared" si="0"/>
        <v>3.8273183817336784</v>
      </c>
      <c r="F32" s="2">
        <f t="shared" si="1"/>
        <v>0.24112105804922174</v>
      </c>
      <c r="G32" s="2">
        <f t="shared" si="2"/>
        <v>18.829191178764155</v>
      </c>
      <c r="H32" s="2">
        <v>27.47714959</v>
      </c>
    </row>
    <row r="33" spans="1:8" x14ac:dyDescent="0.25">
      <c r="A33" s="2">
        <v>30</v>
      </c>
      <c r="B33" s="2">
        <v>65</v>
      </c>
      <c r="C33" s="2">
        <f t="shared" si="3"/>
        <v>1913</v>
      </c>
      <c r="D33" s="2">
        <v>114400</v>
      </c>
      <c r="E33" s="2">
        <f t="shared" si="0"/>
        <v>3.5684207242895911</v>
      </c>
      <c r="F33" s="2">
        <f t="shared" si="1"/>
        <v>0.23194734707882342</v>
      </c>
      <c r="G33" s="2">
        <f t="shared" si="2"/>
        <v>19.061138525842978</v>
      </c>
      <c r="H33" s="2">
        <v>27.67786972</v>
      </c>
    </row>
    <row r="34" spans="1:8" x14ac:dyDescent="0.25">
      <c r="A34" s="2">
        <v>31</v>
      </c>
      <c r="B34" s="2">
        <v>58</v>
      </c>
      <c r="C34" s="2">
        <f t="shared" si="3"/>
        <v>1971</v>
      </c>
      <c r="D34" s="2">
        <v>112000</v>
      </c>
      <c r="E34" s="2">
        <f t="shared" si="0"/>
        <v>3.4935587510527464</v>
      </c>
      <c r="F34" s="2">
        <f t="shared" si="1"/>
        <v>0.20262640756105929</v>
      </c>
      <c r="G34" s="2">
        <f t="shared" si="2"/>
        <v>19.263764933404037</v>
      </c>
      <c r="H34" s="2">
        <v>27.856822260000001</v>
      </c>
    </row>
    <row r="35" spans="1:8" x14ac:dyDescent="0.25">
      <c r="A35" s="2">
        <v>32</v>
      </c>
      <c r="B35" s="2">
        <v>64</v>
      </c>
      <c r="C35" s="2">
        <f t="shared" si="3"/>
        <v>2035</v>
      </c>
      <c r="D35" s="2">
        <v>105200</v>
      </c>
      <c r="E35" s="2">
        <f t="shared" si="0"/>
        <v>3.281449826881687</v>
      </c>
      <c r="F35" s="2">
        <f t="shared" si="1"/>
        <v>0.21001278892042796</v>
      </c>
      <c r="G35" s="2">
        <f t="shared" si="2"/>
        <v>19.473777722324463</v>
      </c>
      <c r="H35" s="2">
        <v>28.01114304</v>
      </c>
    </row>
    <row r="36" spans="1:8" x14ac:dyDescent="0.25">
      <c r="A36" s="2">
        <v>33</v>
      </c>
      <c r="B36" s="2">
        <v>64</v>
      </c>
      <c r="C36" s="2">
        <f t="shared" si="3"/>
        <v>2099</v>
      </c>
      <c r="D36" s="2">
        <v>98200</v>
      </c>
      <c r="E36" s="2">
        <f t="shared" si="0"/>
        <v>3.0631024049408904</v>
      </c>
      <c r="F36" s="2">
        <f t="shared" si="1"/>
        <v>0.196038553916217</v>
      </c>
      <c r="G36" s="2">
        <f t="shared" si="2"/>
        <v>19.669816276240681</v>
      </c>
      <c r="H36" s="2">
        <v>28.14827889</v>
      </c>
    </row>
    <row r="37" spans="1:8" x14ac:dyDescent="0.25">
      <c r="A37" s="2">
        <v>34</v>
      </c>
      <c r="B37" s="2">
        <v>67</v>
      </c>
      <c r="C37" s="2">
        <f t="shared" si="3"/>
        <v>2166</v>
      </c>
      <c r="D37" s="2">
        <v>95100</v>
      </c>
      <c r="E37" s="2">
        <f t="shared" si="0"/>
        <v>2.966405689509966</v>
      </c>
      <c r="F37" s="2">
        <f t="shared" si="1"/>
        <v>0.19874918119716772</v>
      </c>
      <c r="G37" s="2">
        <f t="shared" si="2"/>
        <v>19.86856545743785</v>
      </c>
      <c r="H37" s="2">
        <v>28.277052050000002</v>
      </c>
    </row>
    <row r="38" spans="1:8" x14ac:dyDescent="0.25">
      <c r="A38" s="2">
        <v>35</v>
      </c>
      <c r="B38" s="2">
        <v>65</v>
      </c>
      <c r="C38" s="2">
        <f t="shared" si="3"/>
        <v>2231</v>
      </c>
      <c r="D38" s="2">
        <v>89000</v>
      </c>
      <c r="E38" s="2">
        <f t="shared" si="0"/>
        <v>2.7761315075329862</v>
      </c>
      <c r="F38" s="2">
        <f t="shared" si="1"/>
        <v>0.1804485479896441</v>
      </c>
      <c r="G38" s="2">
        <f t="shared" si="2"/>
        <v>20.049014005427495</v>
      </c>
      <c r="H38" s="2">
        <v>28.299355160000001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Rodrigo, Prashan</dc:creator>
  <cp:lastModifiedBy>Rodrigo, Prashan</cp:lastModifiedBy>
  <dcterms:created xsi:type="dcterms:W3CDTF">2026-02-17T05:44:00Z</dcterms:created>
  <dcterms:modified xsi:type="dcterms:W3CDTF">2026-03-17T04:44:50Z</dcterms:modified>
</cp:coreProperties>
</file>