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prash\Documents\MISSISSIPPI STATE UNIVERSITY\RESEARCH\2022 - Summer - TJ\"/>
    </mc:Choice>
  </mc:AlternateContent>
  <xr:revisionPtr revIDLastSave="0" documentId="13_ncr:1_{B5721D50-474A-47B3-941B-114789F63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3" i="1" l="1"/>
  <c r="N22" i="1"/>
  <c r="N21" i="1"/>
  <c r="L23" i="1"/>
  <c r="K23" i="1"/>
  <c r="J23" i="1"/>
  <c r="I23" i="1"/>
  <c r="J22" i="1"/>
  <c r="K22" i="1"/>
  <c r="L22" i="1"/>
  <c r="L21" i="1"/>
  <c r="K21" i="1"/>
  <c r="J21" i="1"/>
  <c r="I22" i="1"/>
  <c r="I21" i="1"/>
</calcChain>
</file>

<file path=xl/sharedStrings.xml><?xml version="1.0" encoding="utf-8"?>
<sst xmlns="http://schemas.openxmlformats.org/spreadsheetml/2006/main" count="111" uniqueCount="57">
  <si>
    <t>Weight  [mg]</t>
  </si>
  <si>
    <t>Name</t>
  </si>
  <si>
    <t>Method</t>
  </si>
  <si>
    <t>Memo</t>
  </si>
  <si>
    <t>N  Area</t>
  </si>
  <si>
    <t>C  Area</t>
  </si>
  <si>
    <t>H  Area</t>
  </si>
  <si>
    <t>S  Area</t>
  </si>
  <si>
    <t>N  [%]</t>
  </si>
  <si>
    <t>C [%]</t>
  </si>
  <si>
    <t>H  [%]</t>
  </si>
  <si>
    <t>S  [%]</t>
  </si>
  <si>
    <t>C/H  ratio</t>
  </si>
  <si>
    <t>N  Factor</t>
  </si>
  <si>
    <t>C  Factor</t>
  </si>
  <si>
    <t>H  Factor</t>
  </si>
  <si>
    <t>S  Factor</t>
  </si>
  <si>
    <t>N  Blank</t>
  </si>
  <si>
    <t>C  Blank</t>
  </si>
  <si>
    <t>H  Blank</t>
  </si>
  <si>
    <t>S  Blank</t>
  </si>
  <si>
    <t>Info</t>
  </si>
  <si>
    <t>Date       Time</t>
  </si>
  <si>
    <t>Blank</t>
  </si>
  <si>
    <t>Blank without O2</t>
  </si>
  <si>
    <t>2022-01-30</t>
  </si>
  <si>
    <t>15:21:57</t>
  </si>
  <si>
    <t>15:31:03</t>
  </si>
  <si>
    <t>15:40:03</t>
  </si>
  <si>
    <t>Blank with O2</t>
  </si>
  <si>
    <t>15:49:44</t>
  </si>
  <si>
    <t>15:59:32</t>
  </si>
  <si>
    <t>16:09:19</t>
  </si>
  <si>
    <t>sulfanilamide</t>
  </si>
  <si>
    <t>5mg Standard</t>
  </si>
  <si>
    <t>16:20:17</t>
  </si>
  <si>
    <t>16:31:07</t>
  </si>
  <si>
    <t>16:41:52</t>
  </si>
  <si>
    <t>DFBC</t>
  </si>
  <si>
    <t>Graphite</t>
  </si>
  <si>
    <t>16:52:32</t>
  </si>
  <si>
    <t>Su</t>
  </si>
  <si>
    <t>17:03:09</t>
  </si>
  <si>
    <t>17:13:45</t>
  </si>
  <si>
    <t>LDH</t>
  </si>
  <si>
    <t>Nu,Su</t>
  </si>
  <si>
    <t>17:24:16</t>
  </si>
  <si>
    <t>17:43:14</t>
  </si>
  <si>
    <t>P-LDH</t>
  </si>
  <si>
    <t>17:53:55</t>
  </si>
  <si>
    <t>18:04:42</t>
  </si>
  <si>
    <t>C</t>
  </si>
  <si>
    <t>H</t>
  </si>
  <si>
    <t>N</t>
  </si>
  <si>
    <t>S</t>
  </si>
  <si>
    <t>Ash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</si>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</sst>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"/>
  <sheetViews>
    <sheetView tabSelected="1" workbookViewId="0">
      <selection activeCell="R36" sqref="R3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25">
      <c r="A2">
        <v>1</v>
      </c>
      <c r="B2" t="s">
        <v>23</v>
      </c>
      <c r="C2" t="s">
        <v>24</v>
      </c>
      <c r="E2">
        <v>0</v>
      </c>
      <c r="F2">
        <v>331</v>
      </c>
      <c r="G2">
        <v>13584</v>
      </c>
      <c r="H2">
        <v>97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331</v>
      </c>
      <c r="T2">
        <v>13584</v>
      </c>
      <c r="U2">
        <v>97</v>
      </c>
      <c r="W2" t="s">
        <v>25</v>
      </c>
      <c r="X2" t="s">
        <v>26</v>
      </c>
    </row>
    <row r="3" spans="1:24" x14ac:dyDescent="0.25">
      <c r="A3">
        <v>1</v>
      </c>
      <c r="B3" t="s">
        <v>23</v>
      </c>
      <c r="C3" t="s">
        <v>24</v>
      </c>
      <c r="E3">
        <v>0</v>
      </c>
      <c r="F3">
        <v>0</v>
      </c>
      <c r="G3">
        <v>253</v>
      </c>
      <c r="H3">
        <v>7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253</v>
      </c>
      <c r="U3">
        <v>7</v>
      </c>
      <c r="W3" t="s">
        <v>25</v>
      </c>
      <c r="X3" t="s">
        <v>27</v>
      </c>
    </row>
    <row r="4" spans="1:24" x14ac:dyDescent="0.25">
      <c r="A4">
        <v>1</v>
      </c>
      <c r="B4" t="s">
        <v>23</v>
      </c>
      <c r="C4" t="s">
        <v>24</v>
      </c>
      <c r="E4">
        <v>0</v>
      </c>
      <c r="F4">
        <v>9</v>
      </c>
      <c r="G4">
        <v>147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9</v>
      </c>
      <c r="T4">
        <v>147</v>
      </c>
      <c r="U4">
        <v>9</v>
      </c>
      <c r="W4" t="s">
        <v>25</v>
      </c>
      <c r="X4" t="s">
        <v>28</v>
      </c>
    </row>
    <row r="5" spans="1:24" x14ac:dyDescent="0.25">
      <c r="A5">
        <v>1</v>
      </c>
      <c r="B5" t="s">
        <v>23</v>
      </c>
      <c r="C5" t="s">
        <v>29</v>
      </c>
      <c r="E5">
        <v>0</v>
      </c>
      <c r="F5">
        <v>0</v>
      </c>
      <c r="G5">
        <v>127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127</v>
      </c>
      <c r="U5">
        <v>8</v>
      </c>
      <c r="W5" t="s">
        <v>25</v>
      </c>
      <c r="X5" t="s">
        <v>30</v>
      </c>
    </row>
    <row r="6" spans="1:24" x14ac:dyDescent="0.25">
      <c r="A6">
        <v>1</v>
      </c>
      <c r="B6" t="s">
        <v>23</v>
      </c>
      <c r="C6" t="s">
        <v>29</v>
      </c>
      <c r="E6">
        <v>0</v>
      </c>
      <c r="F6">
        <v>0</v>
      </c>
      <c r="G6">
        <v>82</v>
      </c>
      <c r="H6">
        <v>10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82</v>
      </c>
      <c r="U6">
        <v>10</v>
      </c>
      <c r="W6" t="s">
        <v>25</v>
      </c>
      <c r="X6" t="s">
        <v>31</v>
      </c>
    </row>
    <row r="7" spans="1:24" x14ac:dyDescent="0.25">
      <c r="A7">
        <v>1</v>
      </c>
      <c r="B7" t="s">
        <v>23</v>
      </c>
      <c r="C7" t="s">
        <v>29</v>
      </c>
      <c r="E7">
        <v>13</v>
      </c>
      <c r="F7">
        <v>0</v>
      </c>
      <c r="G7">
        <v>50</v>
      </c>
      <c r="H7">
        <v>8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13</v>
      </c>
      <c r="S7">
        <v>0</v>
      </c>
      <c r="T7">
        <v>50</v>
      </c>
      <c r="U7">
        <v>8</v>
      </c>
      <c r="W7" t="s">
        <v>25</v>
      </c>
      <c r="X7" t="s">
        <v>32</v>
      </c>
    </row>
    <row r="8" spans="1:24" x14ac:dyDescent="0.25">
      <c r="A8">
        <v>6.7869999999999999</v>
      </c>
      <c r="B8" t="s">
        <v>33</v>
      </c>
      <c r="C8" t="s">
        <v>34</v>
      </c>
      <c r="E8">
        <v>44106</v>
      </c>
      <c r="F8">
        <v>80931</v>
      </c>
      <c r="G8">
        <v>29595</v>
      </c>
      <c r="H8">
        <v>11817</v>
      </c>
      <c r="I8">
        <v>16.260000000000002</v>
      </c>
      <c r="J8">
        <v>41.85</v>
      </c>
      <c r="K8">
        <v>4.68</v>
      </c>
      <c r="L8">
        <v>18.62</v>
      </c>
      <c r="M8">
        <v>8.9422999999999995</v>
      </c>
      <c r="N8">
        <v>1.0569999999999999</v>
      </c>
      <c r="O8">
        <v>1.0541</v>
      </c>
      <c r="P8">
        <v>1.0905</v>
      </c>
      <c r="Q8">
        <v>1.4113</v>
      </c>
      <c r="R8">
        <v>0</v>
      </c>
      <c r="S8">
        <v>0</v>
      </c>
      <c r="T8">
        <v>0</v>
      </c>
      <c r="U8">
        <v>0</v>
      </c>
      <c r="W8" t="s">
        <v>25</v>
      </c>
      <c r="X8" t="s">
        <v>35</v>
      </c>
    </row>
    <row r="9" spans="1:24" x14ac:dyDescent="0.25">
      <c r="A9">
        <v>5.415</v>
      </c>
      <c r="B9" t="s">
        <v>33</v>
      </c>
      <c r="C9" t="s">
        <v>34</v>
      </c>
      <c r="E9">
        <v>36639</v>
      </c>
      <c r="F9">
        <v>67424</v>
      </c>
      <c r="G9">
        <v>24824</v>
      </c>
      <c r="H9">
        <v>9816</v>
      </c>
      <c r="I9">
        <v>16.260000000000002</v>
      </c>
      <c r="J9">
        <v>41.85</v>
      </c>
      <c r="K9">
        <v>4.68</v>
      </c>
      <c r="L9">
        <v>18.62</v>
      </c>
      <c r="M9">
        <v>8.9422999999999995</v>
      </c>
      <c r="N9">
        <v>1.0154000000000001</v>
      </c>
      <c r="O9">
        <v>1.0098</v>
      </c>
      <c r="P9">
        <v>1.0353000000000001</v>
      </c>
      <c r="Q9">
        <v>1.3616999999999999</v>
      </c>
      <c r="R9">
        <v>0</v>
      </c>
      <c r="S9">
        <v>0</v>
      </c>
      <c r="T9">
        <v>0</v>
      </c>
      <c r="U9">
        <v>0</v>
      </c>
      <c r="W9" t="s">
        <v>25</v>
      </c>
      <c r="X9" t="s">
        <v>36</v>
      </c>
    </row>
    <row r="10" spans="1:24" x14ac:dyDescent="0.25">
      <c r="A10">
        <v>5.5869999999999997</v>
      </c>
      <c r="B10" t="s">
        <v>33</v>
      </c>
      <c r="C10" t="s">
        <v>34</v>
      </c>
      <c r="E10">
        <v>38072</v>
      </c>
      <c r="F10">
        <v>70122</v>
      </c>
      <c r="G10">
        <v>25916</v>
      </c>
      <c r="H10">
        <v>10036</v>
      </c>
      <c r="I10">
        <v>16.260000000000002</v>
      </c>
      <c r="J10">
        <v>41.85</v>
      </c>
      <c r="K10">
        <v>4.68</v>
      </c>
      <c r="L10">
        <v>18.62</v>
      </c>
      <c r="M10">
        <v>8.9422999999999995</v>
      </c>
      <c r="N10">
        <v>1.0082</v>
      </c>
      <c r="O10">
        <v>1.0017</v>
      </c>
      <c r="P10">
        <v>1.0237000000000001</v>
      </c>
      <c r="Q10">
        <v>1.3734</v>
      </c>
      <c r="R10">
        <v>0</v>
      </c>
      <c r="S10">
        <v>0</v>
      </c>
      <c r="T10">
        <v>0</v>
      </c>
      <c r="U10">
        <v>0</v>
      </c>
      <c r="W10" t="s">
        <v>25</v>
      </c>
      <c r="X10" t="s">
        <v>37</v>
      </c>
    </row>
    <row r="11" spans="1:24" x14ac:dyDescent="0.25">
      <c r="A11">
        <v>5.234</v>
      </c>
      <c r="B11" t="s">
        <v>38</v>
      </c>
      <c r="C11" t="s">
        <v>39</v>
      </c>
      <c r="E11">
        <v>225</v>
      </c>
      <c r="F11">
        <v>127807</v>
      </c>
      <c r="G11">
        <v>9325</v>
      </c>
      <c r="H11">
        <v>126</v>
      </c>
      <c r="I11">
        <v>0.11</v>
      </c>
      <c r="J11">
        <v>83.13</v>
      </c>
      <c r="K11">
        <v>1.879</v>
      </c>
      <c r="L11">
        <v>0.222</v>
      </c>
      <c r="M11">
        <v>44.250599999999999</v>
      </c>
      <c r="N11">
        <v>1.0268999999999999</v>
      </c>
      <c r="O11">
        <v>1.0219</v>
      </c>
      <c r="P11">
        <v>1.0498000000000001</v>
      </c>
      <c r="Q11">
        <v>1.3821000000000001</v>
      </c>
      <c r="R11">
        <v>0</v>
      </c>
      <c r="S11">
        <v>0</v>
      </c>
      <c r="T11">
        <v>0</v>
      </c>
      <c r="U11">
        <v>0</v>
      </c>
      <c r="W11" t="s">
        <v>25</v>
      </c>
      <c r="X11" t="s">
        <v>40</v>
      </c>
    </row>
    <row r="12" spans="1:24" x14ac:dyDescent="0.25">
      <c r="A12">
        <v>5.282</v>
      </c>
      <c r="B12" t="s">
        <v>38</v>
      </c>
      <c r="C12" t="s">
        <v>39</v>
      </c>
      <c r="E12">
        <v>243</v>
      </c>
      <c r="F12">
        <v>136404</v>
      </c>
      <c r="G12">
        <v>7672</v>
      </c>
      <c r="H12">
        <v>54</v>
      </c>
      <c r="I12">
        <v>0.12</v>
      </c>
      <c r="J12">
        <v>87.93</v>
      </c>
      <c r="K12">
        <v>1.5640000000000001</v>
      </c>
      <c r="L12">
        <v>7.9000000000000001E-2</v>
      </c>
      <c r="M12">
        <v>56.212800000000001</v>
      </c>
      <c r="N12">
        <v>1.0268999999999999</v>
      </c>
      <c r="O12">
        <v>1.0219</v>
      </c>
      <c r="P12">
        <v>1.0498000000000001</v>
      </c>
      <c r="Q12">
        <v>1.3821000000000001</v>
      </c>
      <c r="R12">
        <v>0</v>
      </c>
      <c r="S12">
        <v>0</v>
      </c>
      <c r="T12">
        <v>0</v>
      </c>
      <c r="U12">
        <v>0</v>
      </c>
      <c r="V12" t="s">
        <v>41</v>
      </c>
      <c r="W12" t="s">
        <v>25</v>
      </c>
      <c r="X12" t="s">
        <v>42</v>
      </c>
    </row>
    <row r="13" spans="1:24" x14ac:dyDescent="0.25">
      <c r="A13">
        <v>5.4619999999999997</v>
      </c>
      <c r="B13" t="s">
        <v>38</v>
      </c>
      <c r="C13" t="s">
        <v>39</v>
      </c>
      <c r="E13">
        <v>257</v>
      </c>
      <c r="F13">
        <v>133429</v>
      </c>
      <c r="G13">
        <v>9189</v>
      </c>
      <c r="H13">
        <v>46</v>
      </c>
      <c r="I13">
        <v>0.12</v>
      </c>
      <c r="J13">
        <v>83.17</v>
      </c>
      <c r="K13">
        <v>1.7749999999999999</v>
      </c>
      <c r="L13">
        <v>6.0999999999999999E-2</v>
      </c>
      <c r="M13">
        <v>46.864699999999999</v>
      </c>
      <c r="N13">
        <v>1.0268999999999999</v>
      </c>
      <c r="O13">
        <v>1.0219</v>
      </c>
      <c r="P13">
        <v>1.0498000000000001</v>
      </c>
      <c r="Q13">
        <v>1.3821000000000001</v>
      </c>
      <c r="R13">
        <v>0</v>
      </c>
      <c r="S13">
        <v>0</v>
      </c>
      <c r="T13">
        <v>0</v>
      </c>
      <c r="U13">
        <v>0</v>
      </c>
      <c r="V13" t="s">
        <v>41</v>
      </c>
      <c r="W13" t="s">
        <v>25</v>
      </c>
      <c r="X13" t="s">
        <v>43</v>
      </c>
    </row>
    <row r="14" spans="1:24" x14ac:dyDescent="0.25">
      <c r="A14">
        <v>5.4420000000000002</v>
      </c>
      <c r="B14" t="s">
        <v>44</v>
      </c>
      <c r="C14" t="s">
        <v>39</v>
      </c>
      <c r="E14">
        <v>171</v>
      </c>
      <c r="F14">
        <v>80258</v>
      </c>
      <c r="G14">
        <v>12261</v>
      </c>
      <c r="H14">
        <v>56</v>
      </c>
      <c r="I14">
        <v>0.08</v>
      </c>
      <c r="J14">
        <v>50.18</v>
      </c>
      <c r="K14">
        <v>2.359</v>
      </c>
      <c r="L14">
        <v>0.08</v>
      </c>
      <c r="M14">
        <v>21.270299999999999</v>
      </c>
      <c r="N14">
        <v>1.0268999999999999</v>
      </c>
      <c r="O14">
        <v>1.0219</v>
      </c>
      <c r="P14">
        <v>1.0498000000000001</v>
      </c>
      <c r="Q14">
        <v>1.3821000000000001</v>
      </c>
      <c r="R14">
        <v>0</v>
      </c>
      <c r="S14">
        <v>0</v>
      </c>
      <c r="T14">
        <v>0</v>
      </c>
      <c r="U14">
        <v>0</v>
      </c>
      <c r="V14" t="s">
        <v>45</v>
      </c>
      <c r="W14" t="s">
        <v>25</v>
      </c>
      <c r="X14" t="s">
        <v>46</v>
      </c>
    </row>
    <row r="15" spans="1:24" x14ac:dyDescent="0.25">
      <c r="A15">
        <v>5.6349999999999998</v>
      </c>
      <c r="B15" t="s">
        <v>44</v>
      </c>
      <c r="C15" t="s">
        <v>39</v>
      </c>
      <c r="E15">
        <v>176</v>
      </c>
      <c r="F15">
        <v>71536</v>
      </c>
      <c r="G15">
        <v>13244</v>
      </c>
      <c r="H15">
        <v>41</v>
      </c>
      <c r="I15">
        <v>0.08</v>
      </c>
      <c r="J15">
        <v>43.18</v>
      </c>
      <c r="K15">
        <v>2.4569999999999999</v>
      </c>
      <c r="L15">
        <v>0.05</v>
      </c>
      <c r="M15">
        <v>17.576499999999999</v>
      </c>
      <c r="N15">
        <v>1.0268999999999999</v>
      </c>
      <c r="O15">
        <v>1.0219</v>
      </c>
      <c r="P15">
        <v>1.0498000000000001</v>
      </c>
      <c r="Q15">
        <v>1.3821000000000001</v>
      </c>
      <c r="R15">
        <v>0</v>
      </c>
      <c r="S15">
        <v>0</v>
      </c>
      <c r="T15">
        <v>0</v>
      </c>
      <c r="U15">
        <v>0</v>
      </c>
      <c r="V15" t="s">
        <v>45</v>
      </c>
      <c r="W15" t="s">
        <v>25</v>
      </c>
      <c r="X15" t="s">
        <v>47</v>
      </c>
    </row>
    <row r="16" spans="1:24" x14ac:dyDescent="0.25">
      <c r="A16">
        <v>5.782</v>
      </c>
      <c r="B16" t="s">
        <v>48</v>
      </c>
      <c r="C16" t="s">
        <v>39</v>
      </c>
      <c r="E16">
        <v>305</v>
      </c>
      <c r="F16">
        <v>79640</v>
      </c>
      <c r="G16">
        <v>11338</v>
      </c>
      <c r="H16">
        <v>28</v>
      </c>
      <c r="I16">
        <v>0.13</v>
      </c>
      <c r="J16">
        <v>46.86</v>
      </c>
      <c r="K16">
        <v>2.0569999999999999</v>
      </c>
      <c r="L16">
        <v>2.5999999999999999E-2</v>
      </c>
      <c r="M16">
        <v>22.782699999999998</v>
      </c>
      <c r="N16">
        <v>1.0268999999999999</v>
      </c>
      <c r="O16">
        <v>1.0219</v>
      </c>
      <c r="P16">
        <v>1.0498000000000001</v>
      </c>
      <c r="Q16">
        <v>1.3821000000000001</v>
      </c>
      <c r="R16">
        <v>0</v>
      </c>
      <c r="S16">
        <v>0</v>
      </c>
      <c r="T16">
        <v>0</v>
      </c>
      <c r="U16">
        <v>0</v>
      </c>
      <c r="V16" t="s">
        <v>41</v>
      </c>
      <c r="W16" t="s">
        <v>25</v>
      </c>
      <c r="X16" t="s">
        <v>49</v>
      </c>
    </row>
    <row r="17" spans="1:24" x14ac:dyDescent="0.25">
      <c r="A17">
        <v>5.1580000000000004</v>
      </c>
      <c r="B17" t="s">
        <v>48</v>
      </c>
      <c r="C17" t="s">
        <v>39</v>
      </c>
      <c r="E17">
        <v>90</v>
      </c>
      <c r="F17">
        <v>78549</v>
      </c>
      <c r="G17">
        <v>10186</v>
      </c>
      <c r="H17">
        <v>24</v>
      </c>
      <c r="I17">
        <v>0.05</v>
      </c>
      <c r="J17">
        <v>51.81</v>
      </c>
      <c r="K17">
        <v>2.077</v>
      </c>
      <c r="L17">
        <v>2.1000000000000001E-2</v>
      </c>
      <c r="M17">
        <v>24.941700000000001</v>
      </c>
      <c r="N17">
        <v>1.0268999999999999</v>
      </c>
      <c r="O17">
        <v>1.0219</v>
      </c>
      <c r="P17">
        <v>1.0498000000000001</v>
      </c>
      <c r="Q17">
        <v>1.3821000000000001</v>
      </c>
      <c r="R17">
        <v>0</v>
      </c>
      <c r="S17">
        <v>0</v>
      </c>
      <c r="T17">
        <v>0</v>
      </c>
      <c r="U17">
        <v>0</v>
      </c>
      <c r="V17" t="s">
        <v>45</v>
      </c>
      <c r="W17" t="s">
        <v>25</v>
      </c>
      <c r="X17" t="s">
        <v>50</v>
      </c>
    </row>
    <row r="20" spans="1:24" x14ac:dyDescent="0.25">
      <c r="H20" s="1"/>
      <c r="I20" s="1" t="s">
        <v>53</v>
      </c>
      <c r="J20" s="1" t="s">
        <v>51</v>
      </c>
      <c r="K20" s="1" t="s">
        <v>52</v>
      </c>
      <c r="L20" s="1" t="s">
        <v>54</v>
      </c>
      <c r="M20" s="3" t="s">
        <v>55</v>
      </c>
      <c r="N20" s="3" t="s">
        <v>56</v>
      </c>
    </row>
    <row r="21" spans="1:24" x14ac:dyDescent="0.25">
      <c r="H21" s="1" t="s">
        <v>38</v>
      </c>
      <c r="I21" s="2">
        <f>AVERAGE(I11:I13)</f>
        <v>0.11666666666666665</v>
      </c>
      <c r="J21" s="2">
        <f>AVERAGE(J11:J13)</f>
        <v>84.743333333333339</v>
      </c>
      <c r="K21" s="2">
        <f>AVERAGE(K11:K13)</f>
        <v>1.7393333333333334</v>
      </c>
      <c r="L21" s="2">
        <f>AVERAGE(L11:L13)</f>
        <v>0.12066666666666666</v>
      </c>
      <c r="M21" s="4">
        <v>2.3199999999999998</v>
      </c>
      <c r="N21" s="5">
        <f>100-(SUM(I21:M21))</f>
        <v>10.960000000000008</v>
      </c>
    </row>
    <row r="22" spans="1:24" x14ac:dyDescent="0.25">
      <c r="H22" s="1" t="s">
        <v>44</v>
      </c>
      <c r="I22" s="2">
        <f>AVERAGE(I14,I15)</f>
        <v>0.08</v>
      </c>
      <c r="J22" s="2">
        <f>AVERAGE(J14:J15)</f>
        <v>46.68</v>
      </c>
      <c r="K22" s="2">
        <f>AVERAGE(K14:K15)</f>
        <v>2.4079999999999999</v>
      </c>
      <c r="L22" s="2">
        <f>AVERAGE(L14:L15)</f>
        <v>6.5000000000000002E-2</v>
      </c>
      <c r="M22" s="4">
        <v>24.94</v>
      </c>
      <c r="N22" s="6">
        <f>100-(SUM(I22:M22))</f>
        <v>25.826999999999998</v>
      </c>
    </row>
    <row r="23" spans="1:24" x14ac:dyDescent="0.25">
      <c r="H23" s="1" t="s">
        <v>48</v>
      </c>
      <c r="I23" s="2">
        <f>AVERAGE(I16)</f>
        <v>0.13</v>
      </c>
      <c r="J23" s="2">
        <f>AVERAGE(J16)</f>
        <v>46.86</v>
      </c>
      <c r="K23" s="2">
        <f>AVERAGE(K16)</f>
        <v>2.0569999999999999</v>
      </c>
      <c r="L23" s="2">
        <f>AVERAGE(L16)</f>
        <v>2.5999999999999999E-2</v>
      </c>
      <c r="M23" s="4">
        <v>27.06</v>
      </c>
      <c r="N23" s="6">
        <f>100-(SUM(I23:M23))</f>
        <v>23.86699999999999</v>
      </c>
    </row>
    <row r="26" spans="1:24" x14ac:dyDescent="0.25">
      <c r="H26" s="1"/>
      <c r="I26" s="1" t="s">
        <v>51</v>
      </c>
      <c r="J26" s="1" t="s">
        <v>52</v>
      </c>
      <c r="K26" s="1" t="s">
        <v>56</v>
      </c>
      <c r="L26" s="1" t="s">
        <v>53</v>
      </c>
      <c r="M26" s="1" t="s">
        <v>54</v>
      </c>
      <c r="N26" s="1" t="s">
        <v>55</v>
      </c>
    </row>
    <row r="27" spans="1:24" x14ac:dyDescent="0.25">
      <c r="H27" s="1" t="s">
        <v>38</v>
      </c>
      <c r="I27" s="2">
        <v>84.743333333333339</v>
      </c>
      <c r="J27" s="2">
        <v>1.7393333333333334</v>
      </c>
      <c r="K27" s="2">
        <v>10.960000000000008</v>
      </c>
      <c r="L27" s="2">
        <v>0.11666666666666665</v>
      </c>
      <c r="M27" s="2">
        <v>0.12066666666666666</v>
      </c>
      <c r="N27" s="2">
        <v>2.3199999999999998</v>
      </c>
    </row>
    <row r="28" spans="1:24" x14ac:dyDescent="0.25">
      <c r="H28" s="1" t="s">
        <v>44</v>
      </c>
      <c r="I28" s="2">
        <v>46.68</v>
      </c>
      <c r="J28" s="2">
        <v>2.4079999999999999</v>
      </c>
      <c r="K28" s="2">
        <v>25.826999999999998</v>
      </c>
      <c r="L28" s="2">
        <v>0.08</v>
      </c>
      <c r="M28" s="2">
        <v>6.5000000000000002E-2</v>
      </c>
      <c r="N28" s="2">
        <v>24.94</v>
      </c>
    </row>
    <row r="29" spans="1:24" x14ac:dyDescent="0.25">
      <c r="H29" s="1" t="s">
        <v>48</v>
      </c>
      <c r="I29" s="2">
        <v>46.86</v>
      </c>
      <c r="J29" s="2">
        <v>2.0569999999999999</v>
      </c>
      <c r="K29" s="2">
        <v>23.86699999999999</v>
      </c>
      <c r="L29" s="2">
        <v>0.13</v>
      </c>
      <c r="M29" s="2">
        <v>2.5999999999999999E-2</v>
      </c>
      <c r="N29" s="2">
        <v>27.06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</cp:lastModifiedBy>
  <dcterms:created xsi:type="dcterms:W3CDTF">2022-01-30T12:20:06Z</dcterms:created>
  <dcterms:modified xsi:type="dcterms:W3CDTF">2022-08-12T05:03:51Z</dcterms:modified>
</cp:coreProperties>
</file>