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j/Library/CloudStorage/GoogleDrive-tajindersi227@gmail.com/My Drive/Research/TJ - LDH Project/Figure 4 - Column/"/>
    </mc:Choice>
  </mc:AlternateContent>
  <xr:revisionPtr revIDLastSave="0" documentId="13_ncr:1_{3E9BB506-56D8-244C-838B-EAA77D488D4C}" xr6:coauthVersionLast="47" xr6:coauthVersionMax="47" xr10:uidLastSave="{00000000-0000-0000-0000-000000000000}"/>
  <bookViews>
    <workbookView xWindow="0" yWindow="500" windowWidth="28800" windowHeight="15720" xr2:uid="{6481612D-FF1F-4930-8A87-6FE26DD74D95}"/>
  </bookViews>
  <sheets>
    <sheet name="Column_leachate" sheetId="1" r:id="rId1"/>
    <sheet name="Calibr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4" i="1"/>
  <c r="O4" i="1" s="1"/>
  <c r="P4" i="1" s="1"/>
  <c r="P5" i="1" l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4" i="1"/>
  <c r="J4" i="1" s="1"/>
  <c r="K4" i="1" s="1"/>
  <c r="P6" i="1" l="1"/>
  <c r="K5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4" i="1"/>
  <c r="E4" i="1" s="1"/>
  <c r="F4" i="1" s="1"/>
  <c r="P7" i="1" l="1"/>
  <c r="K6" i="1"/>
  <c r="F5" i="1"/>
  <c r="P8" i="1" l="1"/>
  <c r="K7" i="1"/>
  <c r="F6" i="1"/>
  <c r="P9" i="1" l="1"/>
  <c r="K8" i="1"/>
  <c r="F7" i="1"/>
  <c r="P10" i="1" l="1"/>
  <c r="K9" i="1"/>
  <c r="F8" i="1"/>
  <c r="P11" i="1" l="1"/>
  <c r="K10" i="1"/>
  <c r="F9" i="1"/>
  <c r="P12" i="1" l="1"/>
  <c r="K11" i="1"/>
  <c r="F10" i="1"/>
  <c r="P13" i="1" l="1"/>
  <c r="K12" i="1"/>
  <c r="F11" i="1"/>
  <c r="P14" i="1" l="1"/>
  <c r="K13" i="1"/>
  <c r="F12" i="1"/>
  <c r="P15" i="1" l="1"/>
  <c r="K14" i="1"/>
  <c r="F13" i="1"/>
  <c r="P16" i="1" l="1"/>
  <c r="K15" i="1"/>
  <c r="F14" i="1"/>
  <c r="P17" i="1" l="1"/>
  <c r="K16" i="1"/>
  <c r="F15" i="1"/>
  <c r="P18" i="1" l="1"/>
  <c r="K17" i="1"/>
  <c r="F16" i="1"/>
  <c r="P19" i="1" l="1"/>
  <c r="K18" i="1"/>
  <c r="F17" i="1"/>
  <c r="P20" i="1" l="1"/>
  <c r="K19" i="1"/>
  <c r="F18" i="1"/>
  <c r="P21" i="1" l="1"/>
  <c r="K20" i="1"/>
  <c r="F19" i="1"/>
  <c r="P22" i="1" l="1"/>
  <c r="K21" i="1"/>
  <c r="F20" i="1"/>
  <c r="P23" i="1" l="1"/>
  <c r="K22" i="1"/>
  <c r="F21" i="1"/>
  <c r="P24" i="1" l="1"/>
  <c r="K23" i="1"/>
  <c r="F22" i="1"/>
  <c r="P25" i="1" l="1"/>
  <c r="K24" i="1"/>
  <c r="F23" i="1"/>
  <c r="P26" i="1" l="1"/>
  <c r="K25" i="1"/>
  <c r="F24" i="1"/>
  <c r="P27" i="1" l="1"/>
  <c r="K26" i="1"/>
  <c r="F25" i="1"/>
  <c r="P28" i="1" l="1"/>
  <c r="K27" i="1"/>
  <c r="F26" i="1"/>
  <c r="P29" i="1" l="1"/>
  <c r="K28" i="1"/>
  <c r="F27" i="1"/>
  <c r="P30" i="1" l="1"/>
  <c r="K29" i="1"/>
  <c r="F28" i="1"/>
  <c r="P31" i="1" l="1"/>
  <c r="K30" i="1"/>
  <c r="F29" i="1"/>
  <c r="P32" i="1" l="1"/>
  <c r="K31" i="1"/>
  <c r="F30" i="1"/>
  <c r="P33" i="1" l="1"/>
  <c r="K32" i="1"/>
  <c r="F31" i="1"/>
  <c r="P34" i="1" l="1"/>
  <c r="K33" i="1"/>
  <c r="F32" i="1"/>
  <c r="P35" i="1" l="1"/>
  <c r="K34" i="1"/>
  <c r="F33" i="1"/>
  <c r="P36" i="1" l="1"/>
  <c r="K35" i="1"/>
  <c r="F34" i="1"/>
  <c r="P37" i="1" l="1"/>
  <c r="K36" i="1"/>
  <c r="F35" i="1"/>
  <c r="P38" i="1" l="1"/>
  <c r="K37" i="1"/>
  <c r="F36" i="1"/>
  <c r="K38" i="1" l="1"/>
  <c r="F37" i="1"/>
  <c r="F3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245428-8BC6-447F-8561-04E3DC83B57F}" keepAlive="1" name="Query - Column TJ" description="Connection to the 'Column TJ' query in the workbook." type="5" refreshedVersion="8" background="1" saveData="1">
    <dbPr connection="Provider=Microsoft.Mashup.OleDb.1;Data Source=$Workbook$;Location=&quot;Column TJ&quot;;Extended Properties=&quot;&quot;" command="SELECT * FROM [Column TJ]"/>
  </connection>
</connections>
</file>

<file path=xl/sharedStrings.xml><?xml version="1.0" encoding="utf-8"?>
<sst xmlns="http://schemas.openxmlformats.org/spreadsheetml/2006/main" count="22" uniqueCount="22">
  <si>
    <t>P</t>
  </si>
  <si>
    <t>Mg</t>
  </si>
  <si>
    <t>Fe</t>
  </si>
  <si>
    <t>Y=30550x+1160</t>
  </si>
  <si>
    <t>Y=370750x+12700</t>
  </si>
  <si>
    <t>Y=17595x+1558</t>
  </si>
  <si>
    <t>Equation</t>
  </si>
  <si>
    <t>P Intensity</t>
  </si>
  <si>
    <t>[P] / ppm</t>
  </si>
  <si>
    <t>Leached P (mg)</t>
  </si>
  <si>
    <t>Mg Intensity</t>
  </si>
  <si>
    <t>[Mg] / ppm</t>
  </si>
  <si>
    <t>Leached Mg (mg)</t>
  </si>
  <si>
    <t>Fe Intensity</t>
  </si>
  <si>
    <t>[Fe] / ppm</t>
  </si>
  <si>
    <t>Leached Fe (mg)</t>
  </si>
  <si>
    <t>Volume (mL)</t>
  </si>
  <si>
    <t>Cumulative Volume (mL)</t>
  </si>
  <si>
    <t>Cumulative Leached P (mg)</t>
  </si>
  <si>
    <t>Cumulative Leached Mg (mg)</t>
  </si>
  <si>
    <t>Cumulative Leached Fe (mg)</t>
  </si>
  <si>
    <t>P-LDH/BC with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</si>
</sst>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Calibration!$D$37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Calibration!$C$5:$C$9</c:f>
              <c:numCache>
                <c:formatCode>General</c:formatCode>
                <c:ptCount val="5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</c:numCache>
            </c:numRef>
          </c:xVal>
          <c:yVal>
            <c:numRef>
              <c:f>Calibration!$F$5:$F$9</c:f>
              <c:numCache>
                <c:formatCode>0.00E+00</c:formatCode>
                <c:ptCount val="5"/>
                <c:pt idx="0">
                  <c:v>8960</c:v>
                </c:pt>
                <c:pt idx="1">
                  <c:v>15700</c:v>
                </c:pt>
                <c:pt idx="2">
                  <c:v>21900</c:v>
                </c:pt>
                <c:pt idx="3">
                  <c:v>29600</c:v>
                </c:pt>
                <c:pt idx="4">
                  <c:v>37200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D-4BD2-B8F2-249256413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79103"/>
        <c:axId val="158579935"/>
      </c:scatterChart>
      <c:valAx>
        <c:axId val="15857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79935"/>
        <c:crosses val="autoZero"/>
        <c:crossBetween val="midCat"/>
      </c:valAx>
      <c:valAx>
        <c:axId val="15857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7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138112</xdr:colOff>
      <xdr:row>11</xdr:row>
      <xdr:rowOff>71437</xdr:rowOff>
    </xdr:from>
    <xdr:to>
      <xdr:col>13</xdr:col>
      <xdr:colOff>442912</xdr:colOff>
      <xdr:row>25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84E266-65C3-297F-CA74-A9F80CFA5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2132-9624-4702-9BA5-D33C7F9136B2}">
  <dimension ref="A1:P38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7.33203125" customWidth="1"/>
    <col min="2" max="2" width="24.5" customWidth="1"/>
    <col min="3" max="3" width="12.33203125" style="7" customWidth="1"/>
    <col min="4" max="4" width="9.1640625" style="10"/>
    <col min="5" max="5" width="14.83203125" customWidth="1"/>
    <col min="6" max="6" width="26" customWidth="1"/>
    <col min="8" max="8" width="12.5" style="7" customWidth="1"/>
    <col min="9" max="9" width="11.5" customWidth="1"/>
    <col min="10" max="10" width="18.83203125" customWidth="1"/>
    <col min="11" max="11" width="27.5" customWidth="1"/>
    <col min="13" max="13" width="14.33203125" customWidth="1"/>
    <col min="14" max="14" width="11.5" customWidth="1"/>
    <col min="15" max="15" width="17.33203125" customWidth="1"/>
    <col min="16" max="16" width="27.33203125" customWidth="1"/>
  </cols>
  <sheetData>
    <row r="1" spans="1:16" x14ac:dyDescent="0.2">
      <c r="A1" t="s">
        <v>21</v>
      </c>
    </row>
    <row r="3" spans="1:16" x14ac:dyDescent="0.2">
      <c r="A3" s="1" t="s">
        <v>16</v>
      </c>
      <c r="B3" s="1" t="s">
        <v>17</v>
      </c>
      <c r="C3" s="8" t="s">
        <v>7</v>
      </c>
      <c r="D3" s="9" t="s">
        <v>8</v>
      </c>
      <c r="E3" s="3" t="s">
        <v>9</v>
      </c>
      <c r="F3" s="3" t="s">
        <v>18</v>
      </c>
      <c r="H3" s="6" t="s">
        <v>10</v>
      </c>
      <c r="I3" s="4" t="s">
        <v>11</v>
      </c>
      <c r="J3" s="4" t="s">
        <v>12</v>
      </c>
      <c r="K3" s="4" t="s">
        <v>19</v>
      </c>
      <c r="M3" s="4" t="s">
        <v>13</v>
      </c>
      <c r="N3" s="4" t="s">
        <v>14</v>
      </c>
      <c r="O3" s="4" t="s">
        <v>15</v>
      </c>
      <c r="P3" s="4" t="s">
        <v>20</v>
      </c>
    </row>
    <row r="4" spans="1:16" x14ac:dyDescent="0.2">
      <c r="A4" s="1">
        <v>61</v>
      </c>
      <c r="B4" s="1">
        <f>A4</f>
        <v>61</v>
      </c>
      <c r="C4" s="8">
        <v>1329999.8606557376</v>
      </c>
      <c r="D4" s="9">
        <f>(C4-1160)/30550</f>
        <v>43.497213114754096</v>
      </c>
      <c r="E4" s="4">
        <f>(D4*A4/1000)</f>
        <v>2.65333</v>
      </c>
      <c r="F4" s="4">
        <f>E4</f>
        <v>2.65333</v>
      </c>
      <c r="H4" s="6">
        <v>2127000</v>
      </c>
      <c r="I4" s="5">
        <f>(H4-12700)/370750</f>
        <v>5.7027646662171279</v>
      </c>
      <c r="J4" s="5">
        <f t="shared" ref="J4:J38" si="0">I4*A4/1000</f>
        <v>0.34786864463924477</v>
      </c>
      <c r="K4" s="5">
        <f>J4</f>
        <v>0.34786864463924477</v>
      </c>
      <c r="M4" s="1">
        <v>757</v>
      </c>
      <c r="N4" s="1">
        <f>(M4/18657)</f>
        <v>4.0574583266334355E-2</v>
      </c>
      <c r="O4" s="1">
        <f t="shared" ref="O4:O38" si="1">(N4*A4/1000)</f>
        <v>2.4750495792463956E-3</v>
      </c>
      <c r="P4" s="1">
        <f>O4</f>
        <v>2.4750495792463956E-3</v>
      </c>
    </row>
    <row r="5" spans="1:16" x14ac:dyDescent="0.2">
      <c r="A5" s="1">
        <v>60.5</v>
      </c>
      <c r="B5" s="1">
        <f>B4+A5</f>
        <v>121.5</v>
      </c>
      <c r="C5" s="8">
        <v>454000</v>
      </c>
      <c r="D5" s="9">
        <f t="shared" ref="D5:D38" si="2">(C5-1160)/30550</f>
        <v>14.822913256955809</v>
      </c>
      <c r="E5" s="4">
        <f t="shared" ref="E5:E38" si="3">(D5*A5/1000)</f>
        <v>0.89678625204582652</v>
      </c>
      <c r="F5" s="4">
        <f>F4+E5</f>
        <v>3.5501162520458265</v>
      </c>
      <c r="H5" s="6">
        <v>2111000</v>
      </c>
      <c r="I5" s="5">
        <f t="shared" ref="I5:I38" si="4">(H5-12700)/370750</f>
        <v>5.6596089008766013</v>
      </c>
      <c r="J5" s="5">
        <f t="shared" si="0"/>
        <v>0.34240633850303437</v>
      </c>
      <c r="K5" s="5">
        <f>K4+J5</f>
        <v>0.6902749831422792</v>
      </c>
      <c r="M5" s="1">
        <v>644</v>
      </c>
      <c r="N5" s="1">
        <f t="shared" ref="N5:N38" si="5">(M5/18657)</f>
        <v>3.4517875328295013E-2</v>
      </c>
      <c r="O5" s="1">
        <f t="shared" si="1"/>
        <v>2.0883314573618482E-3</v>
      </c>
      <c r="P5" s="1">
        <f>P4+O5</f>
        <v>4.5633810366082442E-3</v>
      </c>
    </row>
    <row r="6" spans="1:16" x14ac:dyDescent="0.2">
      <c r="A6" s="1">
        <v>60</v>
      </c>
      <c r="B6" s="1">
        <f>B5+A6</f>
        <v>181.5</v>
      </c>
      <c r="C6" s="8">
        <v>432000</v>
      </c>
      <c r="D6" s="9">
        <f t="shared" si="2"/>
        <v>14.10278232405892</v>
      </c>
      <c r="E6" s="4">
        <f t="shared" si="3"/>
        <v>0.84616693944353516</v>
      </c>
      <c r="F6" s="4">
        <f>F5+E6</f>
        <v>4.3962831914893616</v>
      </c>
      <c r="H6" s="6">
        <v>2090000</v>
      </c>
      <c r="I6" s="5">
        <f t="shared" si="4"/>
        <v>5.6029669588671611</v>
      </c>
      <c r="J6" s="5">
        <f t="shared" si="0"/>
        <v>0.33617801753202969</v>
      </c>
      <c r="K6" s="5">
        <f>K5+J6</f>
        <v>1.0264530006743089</v>
      </c>
      <c r="M6" s="1">
        <v>662</v>
      </c>
      <c r="N6" s="1">
        <f t="shared" si="5"/>
        <v>3.5482660663557916E-2</v>
      </c>
      <c r="O6" s="1">
        <f t="shared" si="1"/>
        <v>2.1289596398134754E-3</v>
      </c>
      <c r="P6" s="1">
        <f>P5+O6</f>
        <v>6.6923406764217196E-3</v>
      </c>
    </row>
    <row r="7" spans="1:16" x14ac:dyDescent="0.2">
      <c r="A7" s="1">
        <v>61</v>
      </c>
      <c r="B7" s="1">
        <f t="shared" ref="B7:B38" si="6">B6+A7</f>
        <v>242.5</v>
      </c>
      <c r="C7" s="8">
        <v>394999.58196721307</v>
      </c>
      <c r="D7" s="9">
        <f t="shared" si="2"/>
        <v>12.891639344262293</v>
      </c>
      <c r="E7" s="4">
        <f t="shared" si="3"/>
        <v>0.78638999999999992</v>
      </c>
      <c r="F7" s="4">
        <f t="shared" ref="F7:F38" si="7">F6+E7</f>
        <v>5.1826731914893616</v>
      </c>
      <c r="H7" s="6">
        <v>2054000</v>
      </c>
      <c r="I7" s="5">
        <f t="shared" si="4"/>
        <v>5.5058664868509775</v>
      </c>
      <c r="J7" s="5">
        <f t="shared" si="0"/>
        <v>0.3358578556979096</v>
      </c>
      <c r="K7" s="5">
        <f t="shared" ref="K7:K38" si="8">K6+J7</f>
        <v>1.3623108563722184</v>
      </c>
      <c r="M7" s="1">
        <v>658</v>
      </c>
      <c r="N7" s="1">
        <f t="shared" si="5"/>
        <v>3.5268263922388382E-2</v>
      </c>
      <c r="O7" s="1">
        <f t="shared" si="1"/>
        <v>2.1513640992656914E-3</v>
      </c>
      <c r="P7" s="1">
        <f t="shared" ref="P7:P38" si="9">P6+O7</f>
        <v>8.843704775687411E-3</v>
      </c>
    </row>
    <row r="8" spans="1:16" x14ac:dyDescent="0.2">
      <c r="A8" s="1">
        <v>61</v>
      </c>
      <c r="B8" s="1">
        <f t="shared" si="6"/>
        <v>303.5</v>
      </c>
      <c r="C8" s="8">
        <v>371000.30327868869</v>
      </c>
      <c r="D8" s="9">
        <f t="shared" si="2"/>
        <v>12.106065573770497</v>
      </c>
      <c r="E8" s="4">
        <f t="shared" si="3"/>
        <v>0.7384700000000004</v>
      </c>
      <c r="F8" s="4">
        <f t="shared" si="7"/>
        <v>5.921143191489362</v>
      </c>
      <c r="H8" s="6">
        <v>2082000</v>
      </c>
      <c r="I8" s="5">
        <f t="shared" si="4"/>
        <v>5.5813890761968983</v>
      </c>
      <c r="J8" s="5">
        <f t="shared" si="0"/>
        <v>0.34046473364801078</v>
      </c>
      <c r="K8" s="5">
        <f t="shared" si="8"/>
        <v>1.702775590020229</v>
      </c>
      <c r="M8" s="1">
        <v>747</v>
      </c>
      <c r="N8" s="1">
        <f t="shared" si="5"/>
        <v>4.0038591413410519E-2</v>
      </c>
      <c r="O8" s="1">
        <f t="shared" si="1"/>
        <v>2.4423540762180417E-3</v>
      </c>
      <c r="P8" s="1">
        <f t="shared" si="9"/>
        <v>1.1286058851905452E-2</v>
      </c>
    </row>
    <row r="9" spans="1:16" x14ac:dyDescent="0.2">
      <c r="A9" s="1">
        <v>59.5</v>
      </c>
      <c r="B9" s="1">
        <f t="shared" si="6"/>
        <v>363</v>
      </c>
      <c r="C9" s="8">
        <v>349000</v>
      </c>
      <c r="D9" s="9">
        <f t="shared" si="2"/>
        <v>11.385924713584288</v>
      </c>
      <c r="E9" s="4">
        <f t="shared" si="3"/>
        <v>0.67746252045826505</v>
      </c>
      <c r="F9" s="4">
        <f t="shared" si="7"/>
        <v>6.5986057119476271</v>
      </c>
      <c r="H9" s="6">
        <v>2058000</v>
      </c>
      <c r="I9" s="5">
        <f t="shared" si="4"/>
        <v>5.5166554281861089</v>
      </c>
      <c r="J9" s="5">
        <f t="shared" si="0"/>
        <v>0.32824099797707351</v>
      </c>
      <c r="K9" s="5">
        <f t="shared" si="8"/>
        <v>2.0310165879973026</v>
      </c>
      <c r="M9" s="1">
        <v>652</v>
      </c>
      <c r="N9" s="1">
        <f t="shared" si="5"/>
        <v>3.4946668810634081E-2</v>
      </c>
      <c r="O9" s="1">
        <f t="shared" si="1"/>
        <v>2.0793267942327276E-3</v>
      </c>
      <c r="P9" s="1">
        <f t="shared" si="9"/>
        <v>1.336538564613818E-2</v>
      </c>
    </row>
    <row r="10" spans="1:16" x14ac:dyDescent="0.2">
      <c r="A10" s="1">
        <v>60.5</v>
      </c>
      <c r="B10" s="1">
        <f t="shared" si="6"/>
        <v>423.5</v>
      </c>
      <c r="C10" s="8">
        <v>318000</v>
      </c>
      <c r="D10" s="9">
        <f t="shared" si="2"/>
        <v>10.371194762684125</v>
      </c>
      <c r="E10" s="4">
        <f t="shared" si="3"/>
        <v>0.62745728314238958</v>
      </c>
      <c r="F10" s="4">
        <f t="shared" si="7"/>
        <v>7.2260629950900164</v>
      </c>
      <c r="H10" s="6">
        <v>1939000</v>
      </c>
      <c r="I10" s="5">
        <f t="shared" si="4"/>
        <v>5.1956844234659476</v>
      </c>
      <c r="J10" s="5">
        <f t="shared" si="0"/>
        <v>0.31433890761968986</v>
      </c>
      <c r="K10" s="5">
        <f t="shared" si="8"/>
        <v>2.3453554956169924</v>
      </c>
      <c r="M10" s="1">
        <v>754</v>
      </c>
      <c r="N10" s="1">
        <f t="shared" si="5"/>
        <v>4.0413785710457201E-2</v>
      </c>
      <c r="O10" s="1">
        <f t="shared" si="1"/>
        <v>2.4450340354826607E-3</v>
      </c>
      <c r="P10" s="1">
        <f t="shared" si="9"/>
        <v>1.5810419681620842E-2</v>
      </c>
    </row>
    <row r="11" spans="1:16" x14ac:dyDescent="0.2">
      <c r="A11" s="1">
        <v>61.5</v>
      </c>
      <c r="B11" s="1">
        <f t="shared" si="6"/>
        <v>485</v>
      </c>
      <c r="C11" s="8">
        <v>297000</v>
      </c>
      <c r="D11" s="9">
        <f t="shared" si="2"/>
        <v>9.6837970540098208</v>
      </c>
      <c r="E11" s="4">
        <f t="shared" si="3"/>
        <v>0.59555351882160401</v>
      </c>
      <c r="F11" s="4">
        <f t="shared" si="7"/>
        <v>7.8216165139116205</v>
      </c>
      <c r="H11" s="6">
        <v>1858000</v>
      </c>
      <c r="I11" s="5">
        <f t="shared" si="4"/>
        <v>4.9772083614295344</v>
      </c>
      <c r="J11" s="5">
        <f t="shared" si="0"/>
        <v>0.30609831422791639</v>
      </c>
      <c r="K11" s="5">
        <f t="shared" si="8"/>
        <v>2.651453809844909</v>
      </c>
      <c r="M11" s="1">
        <v>725</v>
      </c>
      <c r="N11" s="1">
        <f t="shared" si="5"/>
        <v>3.8859409336978075E-2</v>
      </c>
      <c r="O11" s="1">
        <f t="shared" si="1"/>
        <v>2.3898536742241517E-3</v>
      </c>
      <c r="P11" s="1">
        <f t="shared" si="9"/>
        <v>1.8200273355844995E-2</v>
      </c>
    </row>
    <row r="12" spans="1:16" x14ac:dyDescent="0.2">
      <c r="A12" s="1">
        <v>62</v>
      </c>
      <c r="B12" s="1">
        <f t="shared" si="6"/>
        <v>547</v>
      </c>
      <c r="C12" s="8">
        <v>281000</v>
      </c>
      <c r="D12" s="9">
        <f t="shared" si="2"/>
        <v>9.1600654664484455</v>
      </c>
      <c r="E12" s="4">
        <f t="shared" si="3"/>
        <v>0.56792405891980369</v>
      </c>
      <c r="F12" s="4">
        <f t="shared" si="7"/>
        <v>8.3895405728314234</v>
      </c>
      <c r="H12" s="6">
        <v>1829000</v>
      </c>
      <c r="I12" s="5">
        <f t="shared" si="4"/>
        <v>4.8989885367498314</v>
      </c>
      <c r="J12" s="5">
        <f t="shared" si="0"/>
        <v>0.30373728927848953</v>
      </c>
      <c r="K12" s="5">
        <f t="shared" si="8"/>
        <v>2.9551910991233985</v>
      </c>
      <c r="M12" s="1">
        <v>735</v>
      </c>
      <c r="N12" s="1">
        <f t="shared" si="5"/>
        <v>3.939540118990191E-2</v>
      </c>
      <c r="O12" s="1">
        <f t="shared" si="1"/>
        <v>2.4425148737739185E-3</v>
      </c>
      <c r="P12" s="1">
        <f t="shared" si="9"/>
        <v>2.0642788229618913E-2</v>
      </c>
    </row>
    <row r="13" spans="1:16" x14ac:dyDescent="0.2">
      <c r="A13" s="1">
        <v>60</v>
      </c>
      <c r="B13" s="1">
        <f t="shared" si="6"/>
        <v>607</v>
      </c>
      <c r="C13" s="8">
        <v>264000</v>
      </c>
      <c r="D13" s="9">
        <f t="shared" si="2"/>
        <v>8.6036006546644845</v>
      </c>
      <c r="E13" s="4">
        <f t="shared" si="3"/>
        <v>0.51621603927986903</v>
      </c>
      <c r="F13" s="4">
        <f t="shared" si="7"/>
        <v>8.9057566121112917</v>
      </c>
      <c r="H13" s="6">
        <v>1792000</v>
      </c>
      <c r="I13" s="5">
        <f t="shared" si="4"/>
        <v>4.7991908293998655</v>
      </c>
      <c r="J13" s="5">
        <f t="shared" si="0"/>
        <v>0.28795144976399195</v>
      </c>
      <c r="K13" s="5">
        <f t="shared" si="8"/>
        <v>3.2431425488873904</v>
      </c>
      <c r="M13" s="1">
        <v>754</v>
      </c>
      <c r="N13" s="1">
        <f t="shared" si="5"/>
        <v>4.0413785710457201E-2</v>
      </c>
      <c r="O13" s="1">
        <f t="shared" si="1"/>
        <v>2.4248271426274321E-3</v>
      </c>
      <c r="P13" s="1">
        <f t="shared" si="9"/>
        <v>2.3067615372246345E-2</v>
      </c>
    </row>
    <row r="14" spans="1:16" x14ac:dyDescent="0.2">
      <c r="A14" s="1">
        <v>61.5</v>
      </c>
      <c r="B14" s="1">
        <f t="shared" si="6"/>
        <v>668.5</v>
      </c>
      <c r="C14" s="8">
        <v>242000</v>
      </c>
      <c r="D14" s="9">
        <f t="shared" si="2"/>
        <v>7.883469721767594</v>
      </c>
      <c r="E14" s="4">
        <f t="shared" si="3"/>
        <v>0.484833387888707</v>
      </c>
      <c r="F14" s="4">
        <f t="shared" si="7"/>
        <v>9.3905899999999995</v>
      </c>
      <c r="H14" s="6">
        <v>1667000</v>
      </c>
      <c r="I14" s="5">
        <f t="shared" si="4"/>
        <v>4.4620364126770058</v>
      </c>
      <c r="J14" s="5">
        <f t="shared" si="0"/>
        <v>0.27441523937963586</v>
      </c>
      <c r="K14" s="5">
        <f t="shared" si="8"/>
        <v>3.5175577882670264</v>
      </c>
      <c r="M14" s="1">
        <v>747</v>
      </c>
      <c r="N14" s="1">
        <f t="shared" si="5"/>
        <v>4.0038591413410519E-2</v>
      </c>
      <c r="O14" s="1">
        <f t="shared" si="1"/>
        <v>2.462373371924747E-3</v>
      </c>
      <c r="P14" s="1">
        <f t="shared" si="9"/>
        <v>2.5529988744171093E-2</v>
      </c>
    </row>
    <row r="15" spans="1:16" x14ac:dyDescent="0.2">
      <c r="A15" s="1">
        <v>61.5</v>
      </c>
      <c r="B15" s="1">
        <f t="shared" si="6"/>
        <v>730</v>
      </c>
      <c r="C15" s="8">
        <v>216000</v>
      </c>
      <c r="D15" s="9">
        <f t="shared" si="2"/>
        <v>7.0324058919803605</v>
      </c>
      <c r="E15" s="4">
        <f t="shared" si="3"/>
        <v>0.43249296235679219</v>
      </c>
      <c r="F15" s="4">
        <f t="shared" si="7"/>
        <v>9.823082962356791</v>
      </c>
      <c r="H15" s="6">
        <v>1566000</v>
      </c>
      <c r="I15" s="5">
        <f t="shared" si="4"/>
        <v>4.1896156439649364</v>
      </c>
      <c r="J15" s="5">
        <f t="shared" si="0"/>
        <v>0.25766136210384361</v>
      </c>
      <c r="K15" s="5">
        <f t="shared" si="8"/>
        <v>3.7752191503708699</v>
      </c>
      <c r="M15" s="1">
        <v>728</v>
      </c>
      <c r="N15" s="1">
        <f t="shared" si="5"/>
        <v>3.9020206892855229E-2</v>
      </c>
      <c r="O15" s="1">
        <f t="shared" si="1"/>
        <v>2.3997427239105967E-3</v>
      </c>
      <c r="P15" s="1">
        <f t="shared" si="9"/>
        <v>2.7929731468081691E-2</v>
      </c>
    </row>
    <row r="16" spans="1:16" x14ac:dyDescent="0.2">
      <c r="A16" s="1">
        <v>62.5</v>
      </c>
      <c r="B16" s="1">
        <f t="shared" si="6"/>
        <v>792.5</v>
      </c>
      <c r="C16" s="8">
        <v>194000</v>
      </c>
      <c r="D16" s="9">
        <f t="shared" si="2"/>
        <v>6.3122749590834699</v>
      </c>
      <c r="E16" s="4">
        <f t="shared" si="3"/>
        <v>0.39451718494271687</v>
      </c>
      <c r="F16" s="4">
        <f t="shared" si="7"/>
        <v>10.217600147299509</v>
      </c>
      <c r="H16" s="6">
        <v>1451000</v>
      </c>
      <c r="I16" s="5">
        <f t="shared" si="4"/>
        <v>3.8794335805799056</v>
      </c>
      <c r="J16" s="5">
        <f t="shared" si="0"/>
        <v>0.2424645987862441</v>
      </c>
      <c r="K16" s="5">
        <f t="shared" si="8"/>
        <v>4.017683749157114</v>
      </c>
      <c r="M16" s="1">
        <v>735</v>
      </c>
      <c r="N16" s="1">
        <f t="shared" si="5"/>
        <v>3.939540118990191E-2</v>
      </c>
      <c r="O16" s="1">
        <f t="shared" si="1"/>
        <v>2.4622125743688694E-3</v>
      </c>
      <c r="P16" s="1">
        <f t="shared" si="9"/>
        <v>3.0391944042450561E-2</v>
      </c>
    </row>
    <row r="17" spans="1:16" x14ac:dyDescent="0.2">
      <c r="A17" s="1">
        <v>62.5</v>
      </c>
      <c r="B17" s="1">
        <f t="shared" si="6"/>
        <v>855</v>
      </c>
      <c r="C17" s="8">
        <v>175000</v>
      </c>
      <c r="D17" s="9">
        <f t="shared" si="2"/>
        <v>5.6903436988543374</v>
      </c>
      <c r="E17" s="4">
        <f t="shared" si="3"/>
        <v>0.35564648117839609</v>
      </c>
      <c r="F17" s="4">
        <f t="shared" si="7"/>
        <v>10.573246628477905</v>
      </c>
      <c r="H17" s="6">
        <v>1396000</v>
      </c>
      <c r="I17" s="5">
        <f t="shared" si="4"/>
        <v>3.7310856372218475</v>
      </c>
      <c r="J17" s="5">
        <f t="shared" si="0"/>
        <v>0.2331928523263655</v>
      </c>
      <c r="K17" s="5">
        <f t="shared" si="8"/>
        <v>4.2508766014834798</v>
      </c>
      <c r="M17" s="1">
        <v>693</v>
      </c>
      <c r="N17" s="1">
        <f t="shared" si="5"/>
        <v>3.7144235407621802E-2</v>
      </c>
      <c r="O17" s="1">
        <f t="shared" si="1"/>
        <v>2.3215147129763626E-3</v>
      </c>
      <c r="P17" s="1">
        <f t="shared" si="9"/>
        <v>3.2713458755426923E-2</v>
      </c>
    </row>
    <row r="18" spans="1:16" x14ac:dyDescent="0.2">
      <c r="A18" s="1">
        <v>62.5</v>
      </c>
      <c r="B18" s="1">
        <f t="shared" si="6"/>
        <v>917.5</v>
      </c>
      <c r="C18" s="8">
        <v>160000</v>
      </c>
      <c r="D18" s="9">
        <f t="shared" si="2"/>
        <v>5.1993453355155479</v>
      </c>
      <c r="E18" s="4">
        <f t="shared" si="3"/>
        <v>0.32495908346972174</v>
      </c>
      <c r="F18" s="4">
        <f t="shared" si="7"/>
        <v>10.898205711947627</v>
      </c>
      <c r="H18" s="6">
        <v>1312000</v>
      </c>
      <c r="I18" s="5">
        <f t="shared" si="4"/>
        <v>3.5045178691840864</v>
      </c>
      <c r="J18" s="5">
        <f t="shared" si="0"/>
        <v>0.2190323668240054</v>
      </c>
      <c r="K18" s="5">
        <f t="shared" si="8"/>
        <v>4.4699089683074851</v>
      </c>
      <c r="M18" s="1">
        <v>769</v>
      </c>
      <c r="N18" s="1">
        <f t="shared" si="5"/>
        <v>4.1217773489842957E-2</v>
      </c>
      <c r="O18" s="1">
        <f t="shared" si="1"/>
        <v>2.5761108431151848E-3</v>
      </c>
      <c r="P18" s="1">
        <f t="shared" si="9"/>
        <v>3.5289569598542112E-2</v>
      </c>
    </row>
    <row r="19" spans="1:16" x14ac:dyDescent="0.2">
      <c r="A19" s="1">
        <v>62.5</v>
      </c>
      <c r="B19" s="1">
        <f t="shared" si="6"/>
        <v>980</v>
      </c>
      <c r="C19" s="8">
        <v>151000</v>
      </c>
      <c r="D19" s="9">
        <f t="shared" si="2"/>
        <v>4.9047463175122745</v>
      </c>
      <c r="E19" s="4">
        <f t="shared" si="3"/>
        <v>0.30654664484451716</v>
      </c>
      <c r="F19" s="4">
        <f t="shared" si="7"/>
        <v>11.204752356792143</v>
      </c>
      <c r="H19" s="6">
        <v>1374000</v>
      </c>
      <c r="I19" s="5">
        <f t="shared" si="4"/>
        <v>3.6717464598786242</v>
      </c>
      <c r="J19" s="5">
        <f t="shared" si="0"/>
        <v>0.22948415374241402</v>
      </c>
      <c r="K19" s="5">
        <f t="shared" si="8"/>
        <v>4.6993931220498988</v>
      </c>
      <c r="M19" s="1">
        <v>750</v>
      </c>
      <c r="N19" s="1">
        <f t="shared" si="5"/>
        <v>4.0199388969287667E-2</v>
      </c>
      <c r="O19" s="1">
        <f t="shared" si="1"/>
        <v>2.5124618105804792E-3</v>
      </c>
      <c r="P19" s="1">
        <f t="shared" si="9"/>
        <v>3.780203140912259E-2</v>
      </c>
    </row>
    <row r="20" spans="1:16" x14ac:dyDescent="0.2">
      <c r="A20" s="1">
        <v>62.5</v>
      </c>
      <c r="B20" s="1">
        <f t="shared" si="6"/>
        <v>1042.5</v>
      </c>
      <c r="C20" s="8">
        <v>139000</v>
      </c>
      <c r="D20" s="9">
        <f t="shared" si="2"/>
        <v>4.511947626841244</v>
      </c>
      <c r="E20" s="4">
        <f t="shared" si="3"/>
        <v>0.28199672667757775</v>
      </c>
      <c r="F20" s="4">
        <f t="shared" si="7"/>
        <v>11.486749083469721</v>
      </c>
      <c r="H20" s="6">
        <v>1319000</v>
      </c>
      <c r="I20" s="5">
        <f t="shared" si="4"/>
        <v>3.5233985165205666</v>
      </c>
      <c r="J20" s="5">
        <f t="shared" si="0"/>
        <v>0.22021240728253541</v>
      </c>
      <c r="K20" s="5">
        <f t="shared" si="8"/>
        <v>4.9196055293324346</v>
      </c>
      <c r="M20" s="1">
        <v>659</v>
      </c>
      <c r="N20" s="1">
        <f t="shared" si="5"/>
        <v>3.5321863107680762E-2</v>
      </c>
      <c r="O20" s="1">
        <f t="shared" si="1"/>
        <v>2.2076164442300476E-3</v>
      </c>
      <c r="P20" s="1">
        <f t="shared" si="9"/>
        <v>4.0009647853352634E-2</v>
      </c>
    </row>
    <row r="21" spans="1:16" x14ac:dyDescent="0.2">
      <c r="A21" s="1">
        <v>63</v>
      </c>
      <c r="B21" s="1">
        <f t="shared" si="6"/>
        <v>1105.5</v>
      </c>
      <c r="C21" s="8">
        <v>130000</v>
      </c>
      <c r="D21" s="9">
        <f t="shared" si="2"/>
        <v>4.2173486088379706</v>
      </c>
      <c r="E21" s="4">
        <f t="shared" si="3"/>
        <v>0.26569296235679213</v>
      </c>
      <c r="F21" s="4">
        <f t="shared" si="7"/>
        <v>11.752442045826514</v>
      </c>
      <c r="H21" s="6">
        <v>1366000</v>
      </c>
      <c r="I21" s="5">
        <f t="shared" si="4"/>
        <v>3.6501685772083614</v>
      </c>
      <c r="J21" s="5">
        <f t="shared" si="0"/>
        <v>0.22996062036412679</v>
      </c>
      <c r="K21" s="5">
        <f t="shared" si="8"/>
        <v>5.149566149696561</v>
      </c>
      <c r="M21" s="1">
        <v>708</v>
      </c>
      <c r="N21" s="1">
        <f t="shared" si="5"/>
        <v>3.7948223187007558E-2</v>
      </c>
      <c r="O21" s="1">
        <f t="shared" si="1"/>
        <v>2.3907380607814761E-3</v>
      </c>
      <c r="P21" s="1">
        <f t="shared" si="9"/>
        <v>4.2400385914134107E-2</v>
      </c>
    </row>
    <row r="22" spans="1:16" x14ac:dyDescent="0.2">
      <c r="A22" s="1">
        <v>62.5</v>
      </c>
      <c r="B22" s="1">
        <f t="shared" si="6"/>
        <v>1168</v>
      </c>
      <c r="C22" s="8">
        <v>120000</v>
      </c>
      <c r="D22" s="9">
        <f t="shared" si="2"/>
        <v>3.8900163666121115</v>
      </c>
      <c r="E22" s="4">
        <f t="shared" si="3"/>
        <v>0.24312602291325697</v>
      </c>
      <c r="F22" s="4">
        <f t="shared" si="7"/>
        <v>11.995568068739772</v>
      </c>
      <c r="H22" s="6">
        <v>1265000</v>
      </c>
      <c r="I22" s="5">
        <f t="shared" si="4"/>
        <v>3.3777478084962911</v>
      </c>
      <c r="J22" s="5">
        <f t="shared" si="0"/>
        <v>0.21110923803101819</v>
      </c>
      <c r="K22" s="5">
        <f t="shared" si="8"/>
        <v>5.3606753877275795</v>
      </c>
      <c r="M22" s="1">
        <v>655</v>
      </c>
      <c r="N22" s="1">
        <f t="shared" si="5"/>
        <v>3.5107466366511228E-2</v>
      </c>
      <c r="O22" s="1">
        <f t="shared" si="1"/>
        <v>2.1942166479069517E-3</v>
      </c>
      <c r="P22" s="1">
        <f t="shared" si="9"/>
        <v>4.4594602562041057E-2</v>
      </c>
    </row>
    <row r="23" spans="1:16" x14ac:dyDescent="0.2">
      <c r="A23" s="1">
        <v>62.5</v>
      </c>
      <c r="B23" s="1">
        <f t="shared" si="6"/>
        <v>1230.5</v>
      </c>
      <c r="C23" s="8">
        <v>109000</v>
      </c>
      <c r="D23" s="9">
        <f t="shared" si="2"/>
        <v>3.5299509001636662</v>
      </c>
      <c r="E23" s="4">
        <f t="shared" si="3"/>
        <v>0.22062193126022914</v>
      </c>
      <c r="F23" s="4">
        <f t="shared" si="7"/>
        <v>12.216190000000001</v>
      </c>
      <c r="H23" s="6">
        <v>1296000</v>
      </c>
      <c r="I23" s="5">
        <f t="shared" si="4"/>
        <v>3.4613621038435602</v>
      </c>
      <c r="J23" s="5">
        <f t="shared" si="0"/>
        <v>0.21633513149022252</v>
      </c>
      <c r="K23" s="5">
        <f t="shared" si="8"/>
        <v>5.5770105192178017</v>
      </c>
      <c r="M23" s="1">
        <v>699</v>
      </c>
      <c r="N23" s="1">
        <f t="shared" si="5"/>
        <v>3.7465830519376103E-2</v>
      </c>
      <c r="O23" s="1">
        <f t="shared" si="1"/>
        <v>2.3416144074610065E-3</v>
      </c>
      <c r="P23" s="1">
        <f t="shared" si="9"/>
        <v>4.6936216969502065E-2</v>
      </c>
    </row>
    <row r="24" spans="1:16" x14ac:dyDescent="0.2">
      <c r="A24" s="1">
        <v>62.5</v>
      </c>
      <c r="B24" s="1">
        <f t="shared" si="6"/>
        <v>1293</v>
      </c>
      <c r="C24" s="8">
        <v>103000</v>
      </c>
      <c r="D24" s="9">
        <f t="shared" si="2"/>
        <v>3.3335515548281505</v>
      </c>
      <c r="E24" s="4">
        <f t="shared" si="3"/>
        <v>0.2083469721767594</v>
      </c>
      <c r="F24" s="4">
        <f t="shared" si="7"/>
        <v>12.42453697217676</v>
      </c>
      <c r="H24" s="6">
        <v>1212000</v>
      </c>
      <c r="I24" s="5">
        <f t="shared" si="4"/>
        <v>3.2347943358057991</v>
      </c>
      <c r="J24" s="5">
        <f t="shared" si="0"/>
        <v>0.20217464598786244</v>
      </c>
      <c r="K24" s="5">
        <f t="shared" si="8"/>
        <v>5.7791851652056643</v>
      </c>
      <c r="M24" s="1">
        <v>664</v>
      </c>
      <c r="N24" s="1">
        <f t="shared" si="5"/>
        <v>3.5589859034142683E-2</v>
      </c>
      <c r="O24" s="1">
        <f t="shared" si="1"/>
        <v>2.2243661896339177E-3</v>
      </c>
      <c r="P24" s="1">
        <f t="shared" si="9"/>
        <v>4.9160583159135983E-2</v>
      </c>
    </row>
    <row r="25" spans="1:16" x14ac:dyDescent="0.2">
      <c r="A25" s="1">
        <v>65</v>
      </c>
      <c r="B25" s="1">
        <f t="shared" si="6"/>
        <v>1358</v>
      </c>
      <c r="C25" s="8">
        <v>94200</v>
      </c>
      <c r="D25" s="9">
        <f t="shared" si="2"/>
        <v>3.0454991816693946</v>
      </c>
      <c r="E25" s="4">
        <f t="shared" si="3"/>
        <v>0.19795744680851063</v>
      </c>
      <c r="F25" s="4">
        <f t="shared" si="7"/>
        <v>12.622494418985271</v>
      </c>
      <c r="H25" s="6">
        <v>1134000</v>
      </c>
      <c r="I25" s="5">
        <f t="shared" si="4"/>
        <v>3.0244099797707351</v>
      </c>
      <c r="J25" s="5">
        <f t="shared" si="0"/>
        <v>0.19658664868509776</v>
      </c>
      <c r="K25" s="5">
        <f t="shared" si="8"/>
        <v>5.9757718138907618</v>
      </c>
      <c r="M25" s="1">
        <v>687</v>
      </c>
      <c r="N25" s="1">
        <f t="shared" si="5"/>
        <v>3.6822640295867501E-2</v>
      </c>
      <c r="O25" s="1">
        <f t="shared" si="1"/>
        <v>2.3934716192313874E-3</v>
      </c>
      <c r="P25" s="1">
        <f t="shared" si="9"/>
        <v>5.1554054778367372E-2</v>
      </c>
    </row>
    <row r="26" spans="1:16" x14ac:dyDescent="0.2">
      <c r="A26" s="1">
        <v>68.5</v>
      </c>
      <c r="B26" s="1">
        <f t="shared" si="6"/>
        <v>1426.5</v>
      </c>
      <c r="C26" s="8">
        <v>88000</v>
      </c>
      <c r="D26" s="9">
        <f t="shared" si="2"/>
        <v>2.8425531914893618</v>
      </c>
      <c r="E26" s="4">
        <f t="shared" si="3"/>
        <v>0.1947148936170213</v>
      </c>
      <c r="F26" s="4">
        <f t="shared" si="7"/>
        <v>12.817209312602293</v>
      </c>
      <c r="H26" s="6">
        <v>1111000</v>
      </c>
      <c r="I26" s="5">
        <f t="shared" si="4"/>
        <v>2.9623735670937288</v>
      </c>
      <c r="J26" s="5">
        <f t="shared" si="0"/>
        <v>0.20292258934592042</v>
      </c>
      <c r="K26" s="5">
        <f t="shared" si="8"/>
        <v>6.1786944032366824</v>
      </c>
      <c r="M26" s="1">
        <v>680</v>
      </c>
      <c r="N26" s="1">
        <f t="shared" si="5"/>
        <v>3.644744599882082E-2</v>
      </c>
      <c r="O26" s="1">
        <f t="shared" si="1"/>
        <v>2.4966500509192259E-3</v>
      </c>
      <c r="P26" s="1">
        <f t="shared" si="9"/>
        <v>5.4050704829286596E-2</v>
      </c>
    </row>
    <row r="27" spans="1:16" x14ac:dyDescent="0.2">
      <c r="A27" s="1">
        <v>72</v>
      </c>
      <c r="B27" s="1">
        <f t="shared" si="6"/>
        <v>1498.5</v>
      </c>
      <c r="C27" s="8">
        <v>80500</v>
      </c>
      <c r="D27" s="9">
        <f t="shared" si="2"/>
        <v>2.5970540098199675</v>
      </c>
      <c r="E27" s="4">
        <f t="shared" si="3"/>
        <v>0.18698788870703764</v>
      </c>
      <c r="F27" s="4">
        <f t="shared" si="7"/>
        <v>13.00419720130933</v>
      </c>
      <c r="H27" s="6">
        <v>1073000</v>
      </c>
      <c r="I27" s="5">
        <f t="shared" si="4"/>
        <v>2.8598786244099799</v>
      </c>
      <c r="J27" s="5">
        <f t="shared" si="0"/>
        <v>0.20591126095751855</v>
      </c>
      <c r="K27" s="5">
        <f t="shared" si="8"/>
        <v>6.3846056641942006</v>
      </c>
      <c r="M27" s="1">
        <v>675</v>
      </c>
      <c r="N27" s="1">
        <f t="shared" si="5"/>
        <v>3.6179450072358899E-2</v>
      </c>
      <c r="O27" s="1">
        <f t="shared" si="1"/>
        <v>2.6049204052098407E-3</v>
      </c>
      <c r="P27" s="1">
        <f t="shared" si="9"/>
        <v>5.6655625234496437E-2</v>
      </c>
    </row>
    <row r="28" spans="1:16" x14ac:dyDescent="0.2">
      <c r="A28" s="1">
        <v>77</v>
      </c>
      <c r="B28" s="1">
        <f t="shared" si="6"/>
        <v>1575.5</v>
      </c>
      <c r="C28" s="8">
        <v>70300</v>
      </c>
      <c r="D28" s="9">
        <f t="shared" si="2"/>
        <v>2.2631751227495909</v>
      </c>
      <c r="E28" s="4">
        <f t="shared" si="3"/>
        <v>0.17426448445171849</v>
      </c>
      <c r="F28" s="4">
        <f t="shared" si="7"/>
        <v>13.178461685761048</v>
      </c>
      <c r="H28" s="6">
        <v>996000</v>
      </c>
      <c r="I28" s="5">
        <f t="shared" si="4"/>
        <v>2.6521915037086985</v>
      </c>
      <c r="J28" s="5">
        <f t="shared" si="0"/>
        <v>0.20421874578556978</v>
      </c>
      <c r="K28" s="5">
        <f t="shared" si="8"/>
        <v>6.5888244099797708</v>
      </c>
      <c r="M28" s="1">
        <v>696</v>
      </c>
      <c r="N28" s="1">
        <f t="shared" si="5"/>
        <v>3.7305032963498956E-2</v>
      </c>
      <c r="O28" s="1">
        <f t="shared" si="1"/>
        <v>2.8724875381894196E-3</v>
      </c>
      <c r="P28" s="1">
        <f t="shared" si="9"/>
        <v>5.9528112772685854E-2</v>
      </c>
    </row>
    <row r="29" spans="1:16" x14ac:dyDescent="0.2">
      <c r="A29" s="1">
        <v>80</v>
      </c>
      <c r="B29" s="1">
        <f t="shared" si="6"/>
        <v>1655.5</v>
      </c>
      <c r="C29" s="8">
        <v>61100</v>
      </c>
      <c r="D29" s="9">
        <f t="shared" si="2"/>
        <v>1.9620294599018002</v>
      </c>
      <c r="E29" s="4">
        <f t="shared" si="3"/>
        <v>0.15696235679214401</v>
      </c>
      <c r="F29" s="4">
        <f t="shared" si="7"/>
        <v>13.335424042553193</v>
      </c>
      <c r="H29" s="6">
        <v>926000</v>
      </c>
      <c r="I29" s="5">
        <f t="shared" si="4"/>
        <v>2.4633850303438973</v>
      </c>
      <c r="J29" s="5">
        <f t="shared" si="0"/>
        <v>0.19707080242751179</v>
      </c>
      <c r="K29" s="5">
        <f t="shared" si="8"/>
        <v>6.7858952124072829</v>
      </c>
      <c r="M29" s="1">
        <v>657</v>
      </c>
      <c r="N29" s="1">
        <f t="shared" si="5"/>
        <v>3.5214664737095995E-2</v>
      </c>
      <c r="O29" s="1">
        <f t="shared" si="1"/>
        <v>2.8171731789676797E-3</v>
      </c>
      <c r="P29" s="1">
        <f t="shared" si="9"/>
        <v>6.2345285951653534E-2</v>
      </c>
    </row>
    <row r="30" spans="1:16" x14ac:dyDescent="0.2">
      <c r="A30" s="1">
        <v>85.5</v>
      </c>
      <c r="B30" s="1">
        <f t="shared" si="6"/>
        <v>1741</v>
      </c>
      <c r="C30" s="8">
        <v>53500</v>
      </c>
      <c r="D30" s="9">
        <f t="shared" si="2"/>
        <v>1.7132569558101474</v>
      </c>
      <c r="E30" s="4">
        <f t="shared" si="3"/>
        <v>0.1464834697217676</v>
      </c>
      <c r="F30" s="4">
        <f t="shared" si="7"/>
        <v>13.48190751227496</v>
      </c>
      <c r="H30" s="6">
        <v>880000</v>
      </c>
      <c r="I30" s="5">
        <f t="shared" si="4"/>
        <v>2.3393122049898856</v>
      </c>
      <c r="J30" s="5">
        <f t="shared" si="0"/>
        <v>0.20001119352663521</v>
      </c>
      <c r="K30" s="5">
        <f t="shared" si="8"/>
        <v>6.9859064059339184</v>
      </c>
      <c r="M30" s="1">
        <v>673</v>
      </c>
      <c r="N30" s="1">
        <f t="shared" si="5"/>
        <v>3.6072251701774131E-2</v>
      </c>
      <c r="O30" s="1">
        <f t="shared" si="1"/>
        <v>3.0841775205016882E-3</v>
      </c>
      <c r="P30" s="1">
        <f t="shared" si="9"/>
        <v>6.5429463472155225E-2</v>
      </c>
    </row>
    <row r="31" spans="1:16" x14ac:dyDescent="0.2">
      <c r="A31" s="1">
        <v>88</v>
      </c>
      <c r="B31" s="1">
        <f t="shared" si="6"/>
        <v>1829</v>
      </c>
      <c r="C31" s="8">
        <v>46600</v>
      </c>
      <c r="D31" s="9">
        <f t="shared" si="2"/>
        <v>1.4873977086743044</v>
      </c>
      <c r="E31" s="4">
        <f t="shared" si="3"/>
        <v>0.13089099836333878</v>
      </c>
      <c r="F31" s="4">
        <f t="shared" si="7"/>
        <v>13.612798510638299</v>
      </c>
      <c r="H31" s="6">
        <v>818000</v>
      </c>
      <c r="I31" s="5">
        <f t="shared" si="4"/>
        <v>2.1720836142953472</v>
      </c>
      <c r="J31" s="5">
        <f t="shared" si="0"/>
        <v>0.19114335805799054</v>
      </c>
      <c r="K31" s="5">
        <f t="shared" si="8"/>
        <v>7.1770497639919091</v>
      </c>
      <c r="M31" s="1">
        <v>683</v>
      </c>
      <c r="N31" s="1">
        <f t="shared" si="5"/>
        <v>3.6608243554697967E-2</v>
      </c>
      <c r="O31" s="1">
        <f t="shared" si="1"/>
        <v>3.2215254328134212E-3</v>
      </c>
      <c r="P31" s="1">
        <f t="shared" si="9"/>
        <v>6.8650988904968652E-2</v>
      </c>
    </row>
    <row r="32" spans="1:16" x14ac:dyDescent="0.2">
      <c r="A32" s="1">
        <v>92.5</v>
      </c>
      <c r="B32" s="1">
        <f t="shared" si="6"/>
        <v>1921.5</v>
      </c>
      <c r="C32" s="8">
        <v>42700</v>
      </c>
      <c r="D32" s="9">
        <f t="shared" si="2"/>
        <v>1.3597381342062194</v>
      </c>
      <c r="E32" s="4">
        <f t="shared" si="3"/>
        <v>0.12577577741407528</v>
      </c>
      <c r="F32" s="4">
        <f t="shared" si="7"/>
        <v>13.738574288052375</v>
      </c>
      <c r="H32" s="6">
        <v>810000</v>
      </c>
      <c r="I32" s="5">
        <f t="shared" si="4"/>
        <v>2.1505057316250844</v>
      </c>
      <c r="J32" s="5">
        <f t="shared" si="0"/>
        <v>0.19892178017532031</v>
      </c>
      <c r="K32" s="5">
        <f t="shared" si="8"/>
        <v>7.3759715441672293</v>
      </c>
      <c r="M32" s="1">
        <v>662</v>
      </c>
      <c r="N32" s="1">
        <f t="shared" si="5"/>
        <v>3.5482660663557916E-2</v>
      </c>
      <c r="O32" s="1">
        <f t="shared" si="1"/>
        <v>3.2821461113791074E-3</v>
      </c>
      <c r="P32" s="1">
        <f t="shared" si="9"/>
        <v>7.1933135016347766E-2</v>
      </c>
    </row>
    <row r="33" spans="1:16" x14ac:dyDescent="0.2">
      <c r="A33" s="1">
        <v>87.5</v>
      </c>
      <c r="B33" s="1">
        <f t="shared" si="6"/>
        <v>2009</v>
      </c>
      <c r="C33" s="8">
        <v>36200</v>
      </c>
      <c r="D33" s="9">
        <f t="shared" si="2"/>
        <v>1.1469721767594108</v>
      </c>
      <c r="E33" s="4">
        <f t="shared" si="3"/>
        <v>0.10036006546644845</v>
      </c>
      <c r="F33" s="4">
        <f t="shared" si="7"/>
        <v>13.838934353518823</v>
      </c>
      <c r="H33" s="6">
        <v>763000</v>
      </c>
      <c r="I33" s="5">
        <f t="shared" si="4"/>
        <v>2.0237356709372891</v>
      </c>
      <c r="J33" s="5">
        <f t="shared" si="0"/>
        <v>0.17707687120701279</v>
      </c>
      <c r="K33" s="5">
        <f t="shared" si="8"/>
        <v>7.5530484153742421</v>
      </c>
      <c r="M33" s="1">
        <v>661</v>
      </c>
      <c r="N33" s="1">
        <f t="shared" si="5"/>
        <v>3.5429061478265529E-2</v>
      </c>
      <c r="O33" s="1">
        <f t="shared" si="1"/>
        <v>3.1000428793482339E-3</v>
      </c>
      <c r="P33" s="1">
        <f t="shared" si="9"/>
        <v>7.5033177895695996E-2</v>
      </c>
    </row>
    <row r="34" spans="1:16" x14ac:dyDescent="0.2">
      <c r="A34" s="1">
        <v>87.5</v>
      </c>
      <c r="B34" s="1">
        <f t="shared" si="6"/>
        <v>2096.5</v>
      </c>
      <c r="C34" s="8">
        <v>32400</v>
      </c>
      <c r="D34" s="9">
        <f t="shared" si="2"/>
        <v>1.0225859247135842</v>
      </c>
      <c r="E34" s="4">
        <f t="shared" si="3"/>
        <v>8.9476268412438609E-2</v>
      </c>
      <c r="F34" s="4">
        <f t="shared" si="7"/>
        <v>13.928410621931262</v>
      </c>
      <c r="H34" s="6">
        <v>732000</v>
      </c>
      <c r="I34" s="5">
        <f t="shared" si="4"/>
        <v>1.9401213755900202</v>
      </c>
      <c r="J34" s="5">
        <f t="shared" si="0"/>
        <v>0.16976062036412676</v>
      </c>
      <c r="K34" s="5">
        <f t="shared" si="8"/>
        <v>7.7228090357383685</v>
      </c>
      <c r="M34" s="1">
        <v>716</v>
      </c>
      <c r="N34" s="1">
        <f t="shared" si="5"/>
        <v>3.8377016669346627E-2</v>
      </c>
      <c r="O34" s="1">
        <f t="shared" si="1"/>
        <v>3.3579889585678298E-3</v>
      </c>
      <c r="P34" s="1">
        <f t="shared" si="9"/>
        <v>7.8391166854263825E-2</v>
      </c>
    </row>
    <row r="35" spans="1:16" x14ac:dyDescent="0.2">
      <c r="A35" s="1">
        <v>87.5</v>
      </c>
      <c r="B35" s="1">
        <f t="shared" si="6"/>
        <v>2184</v>
      </c>
      <c r="C35" s="8">
        <v>28100</v>
      </c>
      <c r="D35" s="9">
        <f t="shared" si="2"/>
        <v>0.88183306055646482</v>
      </c>
      <c r="E35" s="4">
        <f t="shared" si="3"/>
        <v>7.7160392798690663E-2</v>
      </c>
      <c r="F35" s="4">
        <f t="shared" si="7"/>
        <v>14.005571014729952</v>
      </c>
      <c r="H35" s="6">
        <v>695000</v>
      </c>
      <c r="I35" s="5">
        <f t="shared" si="4"/>
        <v>1.8403236682400539</v>
      </c>
      <c r="J35" s="5">
        <f t="shared" si="0"/>
        <v>0.16102832097100472</v>
      </c>
      <c r="K35" s="5">
        <f t="shared" si="8"/>
        <v>7.8838373567093729</v>
      </c>
      <c r="M35" s="1">
        <v>684</v>
      </c>
      <c r="N35" s="1">
        <f t="shared" si="5"/>
        <v>3.6661842739990354E-2</v>
      </c>
      <c r="O35" s="1">
        <f t="shared" si="1"/>
        <v>3.2079112397491558E-3</v>
      </c>
      <c r="P35" s="1">
        <f t="shared" si="9"/>
        <v>8.1599078094012983E-2</v>
      </c>
    </row>
    <row r="36" spans="1:16" x14ac:dyDescent="0.2">
      <c r="A36" s="1">
        <v>87.5</v>
      </c>
      <c r="B36" s="1">
        <f t="shared" si="6"/>
        <v>2271.5</v>
      </c>
      <c r="C36" s="8">
        <v>25100</v>
      </c>
      <c r="D36" s="9">
        <f t="shared" si="2"/>
        <v>0.78363338788870707</v>
      </c>
      <c r="E36" s="4">
        <f t="shared" si="3"/>
        <v>6.8567921440261873E-2</v>
      </c>
      <c r="F36" s="4">
        <f t="shared" si="7"/>
        <v>14.074138936170215</v>
      </c>
      <c r="H36" s="6">
        <v>695000</v>
      </c>
      <c r="I36" s="5">
        <f t="shared" si="4"/>
        <v>1.8403236682400539</v>
      </c>
      <c r="J36" s="5">
        <f t="shared" si="0"/>
        <v>0.16102832097100472</v>
      </c>
      <c r="K36" s="5">
        <f t="shared" si="8"/>
        <v>8.0448656776803773</v>
      </c>
      <c r="M36" s="1">
        <v>675</v>
      </c>
      <c r="N36" s="1">
        <f t="shared" si="5"/>
        <v>3.6179450072358899E-2</v>
      </c>
      <c r="O36" s="1">
        <f t="shared" si="1"/>
        <v>3.1657018813314036E-3</v>
      </c>
      <c r="P36" s="1">
        <f t="shared" si="9"/>
        <v>8.4764779975344387E-2</v>
      </c>
    </row>
    <row r="37" spans="1:16" x14ac:dyDescent="0.2">
      <c r="A37" s="1">
        <v>86.5</v>
      </c>
      <c r="B37" s="1">
        <f t="shared" si="6"/>
        <v>2358</v>
      </c>
      <c r="C37" s="8">
        <v>23900</v>
      </c>
      <c r="D37" s="9">
        <f t="shared" si="2"/>
        <v>0.74435351882160394</v>
      </c>
      <c r="E37" s="4">
        <f t="shared" si="3"/>
        <v>6.4386579378068742E-2</v>
      </c>
      <c r="F37" s="4">
        <f t="shared" si="7"/>
        <v>14.138525515548283</v>
      </c>
      <c r="H37" s="6">
        <v>658000</v>
      </c>
      <c r="I37" s="5">
        <f t="shared" si="4"/>
        <v>1.7405259608900876</v>
      </c>
      <c r="J37" s="5">
        <f t="shared" si="0"/>
        <v>0.15055549561699258</v>
      </c>
      <c r="K37" s="5">
        <f t="shared" si="8"/>
        <v>8.1954211732973707</v>
      </c>
      <c r="M37" s="1">
        <v>695</v>
      </c>
      <c r="N37" s="1">
        <f t="shared" si="5"/>
        <v>3.7251433778206569E-2</v>
      </c>
      <c r="O37" s="1">
        <f t="shared" si="1"/>
        <v>3.2222490218148684E-3</v>
      </c>
      <c r="P37" s="1">
        <f t="shared" si="9"/>
        <v>8.7987028997159253E-2</v>
      </c>
    </row>
    <row r="38" spans="1:16" x14ac:dyDescent="0.2">
      <c r="A38" s="1">
        <v>17</v>
      </c>
      <c r="B38" s="1">
        <f t="shared" si="6"/>
        <v>2375</v>
      </c>
      <c r="C38" s="8">
        <v>21200</v>
      </c>
      <c r="D38" s="9">
        <f t="shared" si="2"/>
        <v>0.65597381342062189</v>
      </c>
      <c r="E38" s="4">
        <f t="shared" si="3"/>
        <v>1.1151554828150573E-2</v>
      </c>
      <c r="F38" s="4">
        <f t="shared" si="7"/>
        <v>14.149677070376434</v>
      </c>
      <c r="H38" s="6">
        <v>617000</v>
      </c>
      <c r="I38" s="5">
        <f t="shared" si="4"/>
        <v>1.6299393122049899</v>
      </c>
      <c r="J38" s="5">
        <f t="shared" si="0"/>
        <v>2.7708968307484826E-2</v>
      </c>
      <c r="K38" s="5">
        <f t="shared" si="8"/>
        <v>8.2231301416048552</v>
      </c>
      <c r="M38" s="1">
        <v>668</v>
      </c>
      <c r="N38" s="1">
        <f t="shared" si="5"/>
        <v>3.5804255775312217E-2</v>
      </c>
      <c r="O38" s="1">
        <f t="shared" si="1"/>
        <v>6.0867234818030771E-4</v>
      </c>
      <c r="P38" s="1">
        <f t="shared" si="9"/>
        <v>8.8595701345339561E-2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6D1C-5CA7-42C4-9157-5F8319E85315}">
  <dimension ref="C4:F10"/>
  <sheetViews>
    <sheetView workbookViewId="0">
      <selection activeCell="Q26" sqref="Q26"/>
    </sheetView>
  </sheetViews>
  <sheetFormatPr baseColWidth="10" defaultColWidth="8.83203125" defaultRowHeight="15" x14ac:dyDescent="0.2"/>
  <cols>
    <col min="3" max="3" width="9.5" customWidth="1"/>
    <col min="4" max="4" width="17.5" customWidth="1"/>
    <col min="5" max="5" width="16.33203125" customWidth="1"/>
    <col min="6" max="6" width="15.5" customWidth="1"/>
  </cols>
  <sheetData>
    <row r="4" spans="3:6" x14ac:dyDescent="0.2">
      <c r="C4" s="1"/>
      <c r="D4" s="1" t="s">
        <v>0</v>
      </c>
      <c r="E4" s="1" t="s">
        <v>1</v>
      </c>
      <c r="F4" s="1" t="s">
        <v>2</v>
      </c>
    </row>
    <row r="5" spans="3:6" x14ac:dyDescent="0.2">
      <c r="C5" s="1">
        <v>0.4</v>
      </c>
      <c r="D5" s="2">
        <v>13500</v>
      </c>
      <c r="E5" s="2">
        <v>160000</v>
      </c>
      <c r="F5" s="2">
        <v>8960</v>
      </c>
    </row>
    <row r="6" spans="3:6" x14ac:dyDescent="0.2">
      <c r="C6" s="1">
        <v>0.8</v>
      </c>
      <c r="D6" s="2">
        <v>25800</v>
      </c>
      <c r="E6" s="2">
        <v>310000</v>
      </c>
      <c r="F6" s="2">
        <v>15700</v>
      </c>
    </row>
    <row r="7" spans="3:6" x14ac:dyDescent="0.2">
      <c r="C7" s="1">
        <v>1.2</v>
      </c>
      <c r="D7" s="2">
        <v>37800</v>
      </c>
      <c r="E7" s="2">
        <v>456000</v>
      </c>
      <c r="F7" s="2">
        <v>21900</v>
      </c>
    </row>
    <row r="8" spans="3:6" x14ac:dyDescent="0.2">
      <c r="C8" s="1">
        <v>1.6</v>
      </c>
      <c r="D8" s="2">
        <v>49000</v>
      </c>
      <c r="E8" s="2">
        <v>611000</v>
      </c>
      <c r="F8" s="2">
        <v>29600</v>
      </c>
    </row>
    <row r="9" spans="3:6" x14ac:dyDescent="0.2">
      <c r="C9" s="1">
        <v>2</v>
      </c>
      <c r="D9" s="2">
        <v>63000</v>
      </c>
      <c r="E9" s="2">
        <v>751000</v>
      </c>
      <c r="F9" s="2">
        <v>37200</v>
      </c>
    </row>
    <row r="10" spans="3:6" x14ac:dyDescent="0.2">
      <c r="C10" s="4" t="s">
        <v>6</v>
      </c>
      <c r="D10" s="4" t="s">
        <v>3</v>
      </c>
      <c r="E10" s="4" t="s">
        <v>4</v>
      </c>
      <c r="F10" s="4" t="s">
        <v>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F9C510-7CC4-4159-BD3F-D01C8196C4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Column_leachate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 Rodrigo</dc:creator>
  <cp:lastModifiedBy>Singh, Tajinder</cp:lastModifiedBy>
  <dcterms:created xsi:type="dcterms:W3CDTF">2022-08-11T12:24:22Z</dcterms:created>
  <dcterms:modified xsi:type="dcterms:W3CDTF">2026-05-22T20:32:45Z</dcterms:modified>
</cp:coreProperties>
</file>