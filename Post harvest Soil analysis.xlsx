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j/Library/CloudStorage/GoogleDrive-tajindersi227@gmail.com/My Drive/Research/TJ - LDH Project/"/>
    </mc:Choice>
  </mc:AlternateContent>
  <xr:revisionPtr revIDLastSave="0" documentId="13_ncr:1_{35E88A7D-7E7F-6D49-AF7B-88F49F18EEEA}" xr6:coauthVersionLast="47" xr6:coauthVersionMax="47" xr10:uidLastSave="{00000000-0000-0000-0000-000000000000}"/>
  <bookViews>
    <workbookView xWindow="0" yWindow="500" windowWidth="28800" windowHeight="15880" activeTab="1" xr2:uid="{00000000-000D-0000-FFFF-FFFF00000000}"/>
  </bookViews>
  <sheets>
    <sheet name="Sheet1" sheetId="1" r:id="rId1"/>
    <sheet name="Supplement tabl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2" l="1"/>
  <c r="U28" i="2"/>
  <c r="V25" i="2"/>
  <c r="U25" i="2"/>
  <c r="V22" i="2"/>
  <c r="U22" i="2"/>
  <c r="V19" i="2"/>
  <c r="U19" i="2"/>
  <c r="V16" i="2"/>
  <c r="U16" i="2"/>
  <c r="V13" i="2"/>
  <c r="U13" i="2"/>
  <c r="V10" i="2"/>
  <c r="U10" i="2"/>
  <c r="V7" i="2"/>
  <c r="U7" i="2"/>
  <c r="V4" i="2"/>
  <c r="U4" i="2"/>
  <c r="S28" i="2"/>
  <c r="R28" i="2"/>
  <c r="S25" i="2"/>
  <c r="R25" i="2"/>
  <c r="S22" i="2"/>
  <c r="R22" i="2"/>
  <c r="S19" i="2"/>
  <c r="R19" i="2"/>
  <c r="S16" i="2"/>
  <c r="R16" i="2"/>
  <c r="S13" i="2"/>
  <c r="R13" i="2"/>
  <c r="S10" i="2"/>
  <c r="R10" i="2"/>
  <c r="S7" i="2"/>
  <c r="R7" i="2"/>
  <c r="S4" i="2"/>
  <c r="R4" i="2"/>
  <c r="P28" i="2"/>
  <c r="O28" i="2"/>
  <c r="P25" i="2"/>
  <c r="O25" i="2"/>
  <c r="P22" i="2"/>
  <c r="O22" i="2"/>
  <c r="P19" i="2"/>
  <c r="O19" i="2"/>
  <c r="P16" i="2"/>
  <c r="O16" i="2"/>
  <c r="P13" i="2"/>
  <c r="O13" i="2"/>
  <c r="P10" i="2"/>
  <c r="O10" i="2"/>
  <c r="P7" i="2"/>
  <c r="O7" i="2"/>
  <c r="P4" i="2"/>
  <c r="O4" i="2"/>
  <c r="M28" i="2"/>
  <c r="L28" i="2"/>
  <c r="M25" i="2"/>
  <c r="L25" i="2"/>
  <c r="M22" i="2"/>
  <c r="L22" i="2"/>
  <c r="M19" i="2"/>
  <c r="L19" i="2"/>
  <c r="M16" i="2"/>
  <c r="L16" i="2"/>
  <c r="M13" i="2"/>
  <c r="L13" i="2"/>
  <c r="M10" i="2"/>
  <c r="L10" i="2"/>
  <c r="M7" i="2"/>
  <c r="L7" i="2"/>
  <c r="M4" i="2"/>
  <c r="L4" i="2"/>
  <c r="J28" i="2"/>
  <c r="I28" i="2"/>
  <c r="J25" i="2"/>
  <c r="I25" i="2"/>
  <c r="J22" i="2"/>
  <c r="I22" i="2"/>
  <c r="J19" i="2"/>
  <c r="I19" i="2"/>
  <c r="J16" i="2"/>
  <c r="I16" i="2"/>
  <c r="J13" i="2"/>
  <c r="I13" i="2"/>
  <c r="J10" i="2"/>
  <c r="I10" i="2"/>
  <c r="J7" i="2"/>
  <c r="I7" i="2"/>
  <c r="J4" i="2"/>
  <c r="I4" i="2"/>
  <c r="G28" i="2"/>
  <c r="F28" i="2"/>
  <c r="G25" i="2"/>
  <c r="F25" i="2"/>
  <c r="G22" i="2"/>
  <c r="F22" i="2"/>
  <c r="G19" i="2"/>
  <c r="F19" i="2"/>
  <c r="G16" i="2"/>
  <c r="F16" i="2"/>
  <c r="G13" i="2"/>
  <c r="F13" i="2"/>
  <c r="G10" i="2"/>
  <c r="F10" i="2"/>
  <c r="G7" i="2"/>
  <c r="F7" i="2"/>
  <c r="G4" i="2"/>
  <c r="F4" i="2"/>
  <c r="D28" i="2"/>
  <c r="D25" i="2"/>
  <c r="D22" i="2"/>
  <c r="D19" i="2"/>
  <c r="D16" i="2"/>
  <c r="D13" i="2"/>
  <c r="D10" i="2"/>
  <c r="D7" i="2"/>
  <c r="D4" i="2"/>
  <c r="C28" i="2"/>
  <c r="C25" i="2"/>
  <c r="C22" i="2"/>
  <c r="C19" i="2"/>
  <c r="C16" i="2"/>
  <c r="C13" i="2"/>
  <c r="C10" i="2"/>
  <c r="C7" i="2"/>
  <c r="C4" i="2"/>
</calcChain>
</file>

<file path=xl/sharedStrings.xml><?xml version="1.0" encoding="utf-8"?>
<sst xmlns="http://schemas.openxmlformats.org/spreadsheetml/2006/main" count="134" uniqueCount="74">
  <si>
    <t>Extractable Nutrient Levels (Pounds Per Acre)</t>
  </si>
  <si>
    <t>Milliquivalents (Per 100 gm)</t>
  </si>
  <si>
    <t>% Base Saturation</t>
  </si>
  <si>
    <t>Field Name</t>
  </si>
  <si>
    <t>pH</t>
  </si>
  <si>
    <t>Lime buffer pH</t>
  </si>
  <si>
    <t>% N</t>
  </si>
  <si>
    <t>P (ppa)</t>
  </si>
  <si>
    <t>K (ppa)</t>
  </si>
  <si>
    <t>Ca  (ppa)</t>
  </si>
  <si>
    <t>Mg (ppa)</t>
  </si>
  <si>
    <t>Zn (ppa)</t>
  </si>
  <si>
    <t>Na (ppa)</t>
  </si>
  <si>
    <t>% OM</t>
  </si>
  <si>
    <t>CEC</t>
  </si>
  <si>
    <t>Milliequivalent Mg</t>
  </si>
  <si>
    <t>Milliequivalent K</t>
  </si>
  <si>
    <t>Milliequivalent Ca</t>
  </si>
  <si>
    <t>Milliequivalent H</t>
  </si>
  <si>
    <t>Partial charge H</t>
  </si>
  <si>
    <t>Partial charge Ca</t>
  </si>
  <si>
    <t>Partial charge K</t>
  </si>
  <si>
    <t>Partial charge Mg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</si>
  <si>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</si>
  <si>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</si>
  <si>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</si>
  <si>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</si>
  <si>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</si>
  <si>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</si>
  <si>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</si>
  <si>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</si>
  <si>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</si>
  <si>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</si>
  <si>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</si>
  <si>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</si>
  <si>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</si>
  <si>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</si>
  <si>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</si>
  <si>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</si>
  <si>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</si>
  <si>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</si>
  <si>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</si>
  <si>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</si>
  <si>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</si>
  <si>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</si>
  <si>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</si>
  <si>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</si>
  <si>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</si>
  <si>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</si>
  <si>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</si>
  <si>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Average</t>
  </si>
  <si>
    <t>Error</t>
  </si>
  <si>
    <t>Treatment</t>
  </si>
  <si>
    <t>0.043 ± 0.006</t>
  </si>
  <si>
    <t>0.040 ± 0.000</t>
  </si>
  <si>
    <t>46.573 ± 1.675</t>
  </si>
  <si>
    <t>59.817  ± 2.676</t>
  </si>
  <si>
    <t>78.013  ± 5.139</t>
  </si>
  <si>
    <t>51.570  ± 3.897</t>
  </si>
  <si>
    <t>58.703  ± 6.001</t>
  </si>
  <si>
    <t>79.480  ± 8.169</t>
  </si>
  <si>
    <t>44.257  ± 8.803</t>
  </si>
  <si>
    <t>56.843  ± 7.607</t>
  </si>
  <si>
    <t>82.463  ± 7.880</t>
  </si>
  <si>
    <t>67.177  ± 9.102</t>
  </si>
  <si>
    <t>66.073  ± 1.679</t>
  </si>
  <si>
    <t>52.197  ± 5.297</t>
  </si>
  <si>
    <t>76.930  ± 7.383</t>
  </si>
  <si>
    <t>56.770  ± 3.912</t>
  </si>
  <si>
    <t>58.033  ± 4.456</t>
  </si>
  <si>
    <t>68.500  ± 29.534</t>
  </si>
  <si>
    <t>66.600  ± 16.571</t>
  </si>
  <si>
    <t>50.277  ± 10.122</t>
  </si>
  <si>
    <t>Post Harvest Average Extractable Nutrient Levels (Pounds Per 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</si>
</sst>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wrapText="1" readingOrder="1"/>
    </xf>
    <xf numFmtId="0" fontId="1" fillId="2" borderId="0" xfId="0" applyFont="1" applyFill="1"/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2" borderId="0" xfId="0" applyFont="1" applyFill="1" applyAlignment="1">
      <alignment horizontal="center" wrapText="1" readingOrder="1"/>
    </xf>
    <xf numFmtId="2" fontId="1" fillId="2" borderId="0" xfId="0" applyNumberFormat="1" applyFont="1" applyFill="1" applyAlignment="1">
      <alignment horizontal="left" wrapText="1" readingOrder="1"/>
    </xf>
    <xf numFmtId="2" fontId="1" fillId="2" borderId="1" xfId="0" applyNumberFormat="1" applyFont="1" applyFill="1" applyBorder="1" applyAlignment="1">
      <alignment horizontal="left" wrapText="1" readingOrder="1"/>
    </xf>
    <xf numFmtId="2" fontId="1" fillId="2" borderId="0" xfId="0" applyNumberFormat="1" applyFont="1" applyFill="1" applyAlignment="1">
      <alignment horizontal="left" readingOrder="1"/>
    </xf>
    <xf numFmtId="0" fontId="3" fillId="2" borderId="0" xfId="0" applyFont="1" applyFill="1"/>
    <xf numFmtId="0" fontId="3" fillId="2" borderId="0" xfId="0" applyFont="1" applyFill="1" applyAlignment="1">
      <alignment horizontal="left" readingOrder="1"/>
    </xf>
    <xf numFmtId="2" fontId="3" fillId="2" borderId="0" xfId="0" applyNumberFormat="1" applyFont="1" applyFill="1" applyAlignment="1">
      <alignment horizontal="left" readingOrder="1"/>
    </xf>
    <xf numFmtId="164" fontId="1" fillId="2" borderId="0" xfId="0" applyNumberFormat="1" applyFont="1" applyFill="1" applyAlignment="1">
      <alignment horizontal="left" wrapText="1" readingOrder="1"/>
    </xf>
    <xf numFmtId="164" fontId="1" fillId="2" borderId="1" xfId="0" applyNumberFormat="1" applyFont="1" applyFill="1" applyBorder="1" applyAlignment="1">
      <alignment horizontal="left" wrapText="1" readingOrder="1"/>
    </xf>
    <xf numFmtId="164" fontId="3" fillId="2" borderId="0" xfId="0" applyNumberFormat="1" applyFont="1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2" fontId="2" fillId="2" borderId="0" xfId="0" applyNumberFormat="1" applyFont="1" applyFill="1" applyAlignment="1">
      <alignment horizontal="left" readingOrder="1"/>
    </xf>
    <xf numFmtId="164" fontId="3" fillId="2" borderId="2" xfId="0" applyNumberFormat="1" applyFont="1" applyFill="1" applyBorder="1" applyAlignment="1">
      <alignment horizontal="left" readingOrder="1"/>
    </xf>
    <xf numFmtId="0" fontId="2" fillId="2" borderId="3" xfId="0" applyFont="1" applyFill="1" applyBorder="1" applyAlignment="1">
      <alignment horizontal="center" readingOrder="1"/>
    </xf>
    <xf numFmtId="0" fontId="2" fillId="2" borderId="4" xfId="0" applyFont="1" applyFill="1" applyBorder="1" applyAlignment="1">
      <alignment horizontal="center" readingOrder="1"/>
    </xf>
    <xf numFmtId="0" fontId="2" fillId="2" borderId="5" xfId="0" applyFont="1" applyFill="1" applyBorder="1" applyAlignment="1">
      <alignment horizontal="center" readingOrder="1"/>
    </xf>
    <xf numFmtId="0" fontId="1" fillId="2" borderId="6" xfId="0" applyFont="1" applyFill="1" applyBorder="1" applyAlignment="1">
      <alignment horizontal="center" wrapText="1" readingOrder="1"/>
    </xf>
    <xf numFmtId="164" fontId="1" fillId="2" borderId="7" xfId="0" applyNumberFormat="1" applyFont="1" applyFill="1" applyBorder="1" applyAlignment="1">
      <alignment horizontal="left" wrapText="1" readingOrder="1"/>
    </xf>
    <xf numFmtId="0" fontId="1" fillId="2" borderId="7" xfId="0" applyFont="1" applyFill="1" applyBorder="1" applyAlignment="1">
      <alignment horizontal="left" wrapText="1" readingOrder="1"/>
    </xf>
    <xf numFmtId="0" fontId="1" fillId="2" borderId="8" xfId="0" applyFont="1" applyFill="1" applyBorder="1" applyAlignment="1">
      <alignment horizontal="left" wrapText="1" readingOrder="1"/>
    </xf>
    <xf numFmtId="0" fontId="3" fillId="2" borderId="9" xfId="0" applyFont="1" applyFill="1" applyBorder="1"/>
    <xf numFmtId="164" fontId="3" fillId="2" borderId="10" xfId="0" applyNumberFormat="1" applyFont="1" applyFill="1" applyBorder="1" applyAlignment="1">
      <alignment horizontal="left" readingOrder="1"/>
    </xf>
    <xf numFmtId="0" fontId="3" fillId="2" borderId="11" xfId="0" applyFont="1" applyFill="1" applyBorder="1"/>
    <xf numFmtId="164" fontId="3" fillId="2" borderId="12" xfId="0" applyNumberFormat="1" applyFont="1" applyFill="1" applyBorder="1" applyAlignment="1">
      <alignment horizontal="left" readingOrder="1"/>
    </xf>
    <xf numFmtId="164" fontId="3" fillId="2" borderId="13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9"/>
  <sheetViews>
    <sheetView workbookViewId="0">
      <selection sqref="A1:J29"/>
    </sheetView>
  </sheetViews>
  <sheetFormatPr baseColWidth="10" defaultColWidth="8.83203125" defaultRowHeight="16" x14ac:dyDescent="0.2"/>
  <cols>
    <col min="1" max="1" width="15.1640625" style="10" customWidth="1"/>
    <col min="2" max="2" width="13.6640625" style="11" customWidth="1"/>
    <col min="3" max="3" width="17.33203125" style="11" customWidth="1"/>
    <col min="4" max="4" width="6.5" style="15" customWidth="1"/>
    <col min="5" max="5" width="10" style="11" customWidth="1"/>
    <col min="6" max="6" width="8.5" style="11" customWidth="1"/>
    <col min="7" max="7" width="10.1640625" style="11" customWidth="1"/>
    <col min="8" max="8" width="12.33203125" style="11" customWidth="1"/>
    <col min="9" max="9" width="11" style="11" customWidth="1"/>
    <col min="10" max="11" width="9.6640625" style="11" customWidth="1"/>
    <col min="12" max="12" width="10" style="12" customWidth="1"/>
    <col min="13" max="13" width="24.1640625" style="12" customWidth="1"/>
    <col min="14" max="14" width="24.5" style="12" customWidth="1"/>
    <col min="15" max="15" width="25.6640625" style="12" customWidth="1"/>
    <col min="16" max="16" width="22.1640625" style="11" customWidth="1"/>
    <col min="17" max="17" width="26.1640625" style="12" customWidth="1"/>
    <col min="18" max="18" width="23.33203125" style="12" customWidth="1"/>
    <col min="19" max="19" width="22.83203125" style="12" customWidth="1"/>
    <col min="20" max="20" width="23" style="12" customWidth="1"/>
    <col min="21" max="21" width="9.1640625" style="10" customWidth="1"/>
  </cols>
  <sheetData>
    <row r="1" spans="1:20" s="2" customFormat="1" ht="15" customHeight="1" x14ac:dyDescent="0.2">
      <c r="A1" s="6"/>
      <c r="B1" s="1"/>
      <c r="C1" s="1"/>
      <c r="D1" s="13"/>
      <c r="E1" s="17" t="s">
        <v>0</v>
      </c>
      <c r="F1" s="17"/>
      <c r="G1" s="17"/>
      <c r="H1" s="17"/>
      <c r="I1" s="17"/>
      <c r="J1" s="17"/>
      <c r="K1" s="1"/>
      <c r="L1" s="7"/>
      <c r="M1" s="18" t="s">
        <v>1</v>
      </c>
      <c r="N1" s="18"/>
      <c r="O1" s="18"/>
      <c r="P1" s="18"/>
      <c r="Q1" s="9"/>
      <c r="R1" s="18" t="s">
        <v>2</v>
      </c>
      <c r="S1" s="18"/>
      <c r="T1" s="18"/>
    </row>
    <row r="2" spans="1:20" s="2" customFormat="1" ht="45.75" customHeight="1" x14ac:dyDescent="0.2">
      <c r="A2" s="3" t="s">
        <v>3</v>
      </c>
      <c r="B2" s="4" t="s">
        <v>4</v>
      </c>
      <c r="C2" s="5" t="s">
        <v>5</v>
      </c>
      <c r="D2" s="1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4" t="s">
        <v>18</v>
      </c>
      <c r="Q2" s="8" t="s">
        <v>19</v>
      </c>
      <c r="R2" s="8" t="s">
        <v>20</v>
      </c>
      <c r="S2" s="8" t="s">
        <v>21</v>
      </c>
      <c r="T2" s="8" t="s">
        <v>22</v>
      </c>
    </row>
    <row r="3" spans="1:20" x14ac:dyDescent="0.2">
      <c r="A3" s="10" t="s">
        <v>23</v>
      </c>
      <c r="B3" s="11">
        <v>7.8</v>
      </c>
      <c r="C3" s="11">
        <v>0</v>
      </c>
      <c r="D3" s="15">
        <v>0.04</v>
      </c>
      <c r="E3" s="11">
        <v>47.23</v>
      </c>
      <c r="F3" s="11">
        <v>68.12</v>
      </c>
      <c r="G3" s="11">
        <v>1212.23</v>
      </c>
      <c r="H3" s="11">
        <v>36.130000000000003</v>
      </c>
      <c r="I3" s="11">
        <v>1.27</v>
      </c>
      <c r="J3" s="11">
        <v>48.11</v>
      </c>
      <c r="K3" s="11">
        <v>0.62</v>
      </c>
      <c r="L3" s="12">
        <v>3.2684500000000001</v>
      </c>
      <c r="M3" s="12">
        <v>0.15054166666666999</v>
      </c>
      <c r="N3" s="12">
        <v>8.7333333333332999E-2</v>
      </c>
      <c r="O3" s="12">
        <v>3.0305749999999998</v>
      </c>
      <c r="P3" s="11">
        <v>0</v>
      </c>
      <c r="Q3" s="12">
        <v>0</v>
      </c>
      <c r="R3" s="12">
        <v>92.722085392157993</v>
      </c>
      <c r="S3" s="12">
        <v>2.6720106880426999</v>
      </c>
      <c r="T3" s="12">
        <v>4.6059039197990002</v>
      </c>
    </row>
    <row r="4" spans="1:20" x14ac:dyDescent="0.2">
      <c r="A4" s="10" t="s">
        <v>32</v>
      </c>
      <c r="B4" s="11">
        <v>7.1</v>
      </c>
      <c r="C4" s="11">
        <v>0</v>
      </c>
      <c r="D4" s="15">
        <v>0.04</v>
      </c>
      <c r="E4" s="11">
        <v>44.67</v>
      </c>
      <c r="F4" s="11">
        <v>75.77</v>
      </c>
      <c r="G4" s="11">
        <v>1171.57</v>
      </c>
      <c r="H4" s="11">
        <v>42.89</v>
      </c>
      <c r="I4" s="11">
        <v>1.22</v>
      </c>
      <c r="J4" s="11">
        <v>50.33</v>
      </c>
      <c r="K4" s="11">
        <v>0.6</v>
      </c>
      <c r="L4" s="12">
        <v>3.2047743589744</v>
      </c>
      <c r="M4" s="12">
        <v>0.17870833333333</v>
      </c>
      <c r="N4" s="12">
        <v>9.7141025641026002E-2</v>
      </c>
      <c r="O4" s="12">
        <v>2.928925</v>
      </c>
      <c r="P4" s="11">
        <v>0</v>
      </c>
      <c r="Q4" s="12">
        <v>0</v>
      </c>
      <c r="R4" s="12">
        <v>91.39254973749</v>
      </c>
      <c r="S4" s="12">
        <v>3.0311346372639001</v>
      </c>
      <c r="T4" s="12">
        <v>5.5763156252449004</v>
      </c>
    </row>
    <row r="5" spans="1:20" x14ac:dyDescent="0.2">
      <c r="A5" s="10" t="s">
        <v>41</v>
      </c>
      <c r="B5" s="11">
        <v>7</v>
      </c>
      <c r="C5" s="11">
        <v>0</v>
      </c>
      <c r="D5" s="15">
        <v>0.04</v>
      </c>
      <c r="E5" s="11">
        <v>47.82</v>
      </c>
      <c r="F5" s="11">
        <v>57.64</v>
      </c>
      <c r="G5" s="11">
        <v>1281.8399999999999</v>
      </c>
      <c r="H5" s="11">
        <v>34.619999999999997</v>
      </c>
      <c r="I5" s="11">
        <v>2.35</v>
      </c>
      <c r="J5" s="11">
        <v>66.95</v>
      </c>
      <c r="K5" s="11">
        <v>0.63</v>
      </c>
      <c r="L5" s="12">
        <v>3.4227474358974002</v>
      </c>
      <c r="M5" s="12">
        <v>0.14424999999999999</v>
      </c>
      <c r="N5" s="12">
        <v>7.3897435897435998E-2</v>
      </c>
      <c r="O5" s="12">
        <v>3.2046000000000001</v>
      </c>
      <c r="P5" s="11">
        <v>0</v>
      </c>
      <c r="Q5" s="12">
        <v>0</v>
      </c>
      <c r="R5" s="12">
        <v>93.626540082698</v>
      </c>
      <c r="S5" s="12">
        <v>2.1590093128815</v>
      </c>
      <c r="T5" s="12">
        <v>4.2144506044214998</v>
      </c>
    </row>
    <row r="6" spans="1:20" x14ac:dyDescent="0.2">
      <c r="A6" s="10" t="s">
        <v>24</v>
      </c>
      <c r="B6" s="11">
        <v>7.2</v>
      </c>
      <c r="C6" s="11">
        <v>0</v>
      </c>
      <c r="D6" s="15">
        <v>0.04</v>
      </c>
      <c r="E6" s="11">
        <v>59.72</v>
      </c>
      <c r="F6" s="11">
        <v>65.02</v>
      </c>
      <c r="G6" s="11">
        <v>1128.04</v>
      </c>
      <c r="H6" s="11">
        <v>34.369999999999997</v>
      </c>
      <c r="I6" s="11">
        <v>3.35</v>
      </c>
      <c r="J6" s="11">
        <v>46.15</v>
      </c>
      <c r="K6" s="11">
        <v>0.62</v>
      </c>
      <c r="L6" s="12">
        <v>3.0466673076922999</v>
      </c>
      <c r="M6" s="12">
        <v>0.14320833333333</v>
      </c>
      <c r="N6" s="12">
        <v>8.3358974358974006E-2</v>
      </c>
      <c r="O6" s="12">
        <v>2.8201000000000001</v>
      </c>
      <c r="P6" s="11">
        <v>0</v>
      </c>
      <c r="Q6" s="12">
        <v>0</v>
      </c>
      <c r="R6" s="12">
        <v>92.563437854857</v>
      </c>
      <c r="S6" s="12">
        <v>2.7360707927808998</v>
      </c>
      <c r="T6" s="12">
        <v>4.7004913523624001</v>
      </c>
    </row>
    <row r="7" spans="1:20" x14ac:dyDescent="0.2">
      <c r="A7" s="10" t="s">
        <v>33</v>
      </c>
      <c r="B7" s="11">
        <v>7.2</v>
      </c>
      <c r="C7" s="11">
        <v>0</v>
      </c>
      <c r="D7" s="15">
        <v>0.04</v>
      </c>
      <c r="E7" s="11">
        <v>62.54</v>
      </c>
      <c r="F7" s="11">
        <v>68.010000000000005</v>
      </c>
      <c r="G7" s="11">
        <v>1224.1099999999999</v>
      </c>
      <c r="H7" s="11">
        <v>36.43</v>
      </c>
      <c r="I7" s="11">
        <v>1.75</v>
      </c>
      <c r="J7" s="11">
        <v>47.56</v>
      </c>
      <c r="K7" s="11">
        <v>0.63</v>
      </c>
      <c r="L7" s="12">
        <v>3.2992589743590002</v>
      </c>
      <c r="M7" s="12">
        <v>0.15179166666666999</v>
      </c>
      <c r="N7" s="12">
        <v>8.7192307692307999E-2</v>
      </c>
      <c r="O7" s="12">
        <v>3.0602749999999999</v>
      </c>
      <c r="P7" s="11">
        <v>0</v>
      </c>
      <c r="Q7" s="12">
        <v>0</v>
      </c>
      <c r="R7" s="12">
        <v>92.756434817141994</v>
      </c>
      <c r="S7" s="12">
        <v>2.6427845879922001</v>
      </c>
      <c r="T7" s="12">
        <v>4.6007805948655998</v>
      </c>
    </row>
    <row r="8" spans="1:20" x14ac:dyDescent="0.2">
      <c r="A8" s="10" t="s">
        <v>42</v>
      </c>
      <c r="B8" s="11">
        <v>7.2</v>
      </c>
      <c r="C8" s="11">
        <v>0</v>
      </c>
      <c r="D8" s="15">
        <v>0.04</v>
      </c>
      <c r="E8" s="11">
        <v>57.19</v>
      </c>
      <c r="F8" s="11">
        <v>65.19</v>
      </c>
      <c r="G8" s="11">
        <v>1196.21</v>
      </c>
      <c r="H8" s="11">
        <v>37.549999999999997</v>
      </c>
      <c r="I8" s="11">
        <v>1.98</v>
      </c>
      <c r="J8" s="11">
        <v>53.95</v>
      </c>
      <c r="K8" s="11">
        <v>0.61</v>
      </c>
      <c r="L8" s="12">
        <v>3.2305602564103002</v>
      </c>
      <c r="M8" s="12">
        <v>0.15645833333333001</v>
      </c>
      <c r="N8" s="12">
        <v>8.3576923076922993E-2</v>
      </c>
      <c r="O8" s="12">
        <v>2.9905249999999999</v>
      </c>
      <c r="P8" s="11">
        <v>0</v>
      </c>
      <c r="Q8" s="12">
        <v>0</v>
      </c>
      <c r="R8" s="12">
        <v>92.569856701047001</v>
      </c>
      <c r="S8" s="12">
        <v>2.5870721002985002</v>
      </c>
      <c r="T8" s="12">
        <v>4.8430711986528001</v>
      </c>
    </row>
    <row r="9" spans="1:20" x14ac:dyDescent="0.2">
      <c r="A9" s="10" t="s">
        <v>25</v>
      </c>
      <c r="B9" s="11">
        <v>7.1</v>
      </c>
      <c r="C9" s="11">
        <v>0</v>
      </c>
      <c r="D9" s="15">
        <v>0.04</v>
      </c>
      <c r="E9" s="11">
        <v>82.38</v>
      </c>
      <c r="F9" s="11">
        <v>48.41</v>
      </c>
      <c r="G9" s="11">
        <v>1425.49</v>
      </c>
      <c r="H9" s="11">
        <v>26.94</v>
      </c>
      <c r="I9" s="11">
        <v>1.49</v>
      </c>
      <c r="J9" s="11">
        <v>64.790000000000006</v>
      </c>
      <c r="K9" s="11">
        <v>0.61</v>
      </c>
      <c r="L9" s="12">
        <v>3.7380391025641</v>
      </c>
      <c r="M9" s="12">
        <v>0.11225</v>
      </c>
      <c r="N9" s="12">
        <v>6.2064102564103003E-2</v>
      </c>
      <c r="O9" s="12">
        <v>3.5637249999999998</v>
      </c>
      <c r="P9" s="11">
        <v>0</v>
      </c>
      <c r="Q9" s="12">
        <v>0</v>
      </c>
      <c r="R9" s="12">
        <v>95.336750157468003</v>
      </c>
      <c r="S9" s="12">
        <v>1.6603385053284001</v>
      </c>
      <c r="T9" s="12">
        <v>3.0029113372035998</v>
      </c>
    </row>
    <row r="10" spans="1:20" x14ac:dyDescent="0.2">
      <c r="A10" s="10" t="s">
        <v>34</v>
      </c>
      <c r="B10" s="11">
        <v>7.2</v>
      </c>
      <c r="C10" s="11">
        <v>0</v>
      </c>
      <c r="D10" s="15">
        <v>0.04</v>
      </c>
      <c r="E10" s="11">
        <v>79.31</v>
      </c>
      <c r="F10" s="11">
        <v>58.25</v>
      </c>
      <c r="G10" s="11">
        <v>1314.96</v>
      </c>
      <c r="H10" s="11">
        <v>31.23</v>
      </c>
      <c r="I10" s="11">
        <v>1.1200000000000001</v>
      </c>
      <c r="J10" s="11">
        <v>51.18</v>
      </c>
      <c r="K10" s="11">
        <v>0.62</v>
      </c>
      <c r="L10" s="12">
        <v>3.4922044871794999</v>
      </c>
      <c r="M10" s="12">
        <v>0.13012499999999999</v>
      </c>
      <c r="N10" s="12">
        <v>7.4679487179486997E-2</v>
      </c>
      <c r="O10" s="12">
        <v>3.2873999999999999</v>
      </c>
      <c r="P10" s="11">
        <v>0</v>
      </c>
      <c r="Q10" s="12">
        <v>0</v>
      </c>
      <c r="R10" s="12">
        <v>94.135381019887006</v>
      </c>
      <c r="S10" s="12">
        <v>2.1384626087518002</v>
      </c>
      <c r="T10" s="12">
        <v>3.7261563713612</v>
      </c>
    </row>
    <row r="11" spans="1:20" x14ac:dyDescent="0.2">
      <c r="A11" s="10" t="s">
        <v>43</v>
      </c>
      <c r="B11" s="11">
        <v>7.1</v>
      </c>
      <c r="C11" s="11">
        <v>0</v>
      </c>
      <c r="D11" s="15">
        <v>0.04</v>
      </c>
      <c r="E11" s="11">
        <v>72.349999999999994</v>
      </c>
      <c r="F11" s="11">
        <v>49.93</v>
      </c>
      <c r="G11" s="11">
        <v>1508.61</v>
      </c>
      <c r="H11" s="11">
        <v>29.35</v>
      </c>
      <c r="I11" s="11">
        <v>1.78</v>
      </c>
      <c r="J11" s="11">
        <v>70.48</v>
      </c>
      <c r="K11" s="11">
        <v>0.68</v>
      </c>
      <c r="L11" s="12">
        <v>3.9578294871795001</v>
      </c>
      <c r="M11" s="12">
        <v>0.12229166666667</v>
      </c>
      <c r="N11" s="12">
        <v>6.4012820512821006E-2</v>
      </c>
      <c r="O11" s="12">
        <v>3.771525</v>
      </c>
      <c r="P11" s="11">
        <v>0</v>
      </c>
      <c r="Q11" s="12">
        <v>0</v>
      </c>
      <c r="R11" s="12">
        <v>95.292761151459999</v>
      </c>
      <c r="S11" s="12">
        <v>1.617371863042</v>
      </c>
      <c r="T11" s="12">
        <v>3.0898669854980998</v>
      </c>
    </row>
    <row r="12" spans="1:20" x14ac:dyDescent="0.2">
      <c r="A12" s="10" t="s">
        <v>26</v>
      </c>
      <c r="B12" s="11">
        <v>6.83</v>
      </c>
      <c r="C12" s="11">
        <v>7.2</v>
      </c>
      <c r="D12" s="15">
        <v>0.05</v>
      </c>
      <c r="E12" s="11">
        <v>47.11</v>
      </c>
      <c r="F12" s="11">
        <v>69.31</v>
      </c>
      <c r="G12" s="11">
        <v>1465.98</v>
      </c>
      <c r="H12" s="11">
        <v>42.42</v>
      </c>
      <c r="I12" s="11">
        <v>1.1100000000000001</v>
      </c>
      <c r="J12" s="11">
        <v>77.16</v>
      </c>
      <c r="K12" s="11">
        <v>0.77</v>
      </c>
      <c r="L12" s="12">
        <v>3.9305589743590001</v>
      </c>
      <c r="M12" s="12">
        <v>0.17674999999999999</v>
      </c>
      <c r="N12" s="12">
        <v>8.8858974358973997E-2</v>
      </c>
      <c r="O12" s="12">
        <v>3.6649500000000002</v>
      </c>
      <c r="P12" s="11">
        <v>0</v>
      </c>
      <c r="Q12" s="12">
        <v>0</v>
      </c>
      <c r="R12" s="12">
        <v>93.242463067168998</v>
      </c>
      <c r="S12" s="12">
        <v>2.2607210561816999</v>
      </c>
      <c r="T12" s="12">
        <v>4.4968158766483004</v>
      </c>
    </row>
    <row r="13" spans="1:20" x14ac:dyDescent="0.2">
      <c r="A13" s="10" t="s">
        <v>35</v>
      </c>
      <c r="B13" s="11">
        <v>7.1</v>
      </c>
      <c r="C13" s="11">
        <v>0</v>
      </c>
      <c r="D13" s="15">
        <v>0.04</v>
      </c>
      <c r="E13" s="11">
        <v>54.32</v>
      </c>
      <c r="F13" s="11">
        <v>77.430000000000007</v>
      </c>
      <c r="G13" s="11">
        <v>1162.97</v>
      </c>
      <c r="H13" s="11">
        <v>45.29</v>
      </c>
      <c r="I13" s="11">
        <v>1.19</v>
      </c>
      <c r="J13" s="11">
        <v>41.05</v>
      </c>
      <c r="K13" s="11">
        <v>0.63</v>
      </c>
      <c r="L13" s="12">
        <v>3.1954025641025998</v>
      </c>
      <c r="M13" s="12">
        <v>0.18870833333333001</v>
      </c>
      <c r="N13" s="12">
        <v>9.9269230769230998E-2</v>
      </c>
      <c r="O13" s="12">
        <v>2.9074249999999999</v>
      </c>
      <c r="P13" s="11">
        <v>0</v>
      </c>
      <c r="Q13" s="12">
        <v>0</v>
      </c>
      <c r="R13" s="12">
        <v>90.987753238425995</v>
      </c>
      <c r="S13" s="12">
        <v>3.1066267482046999</v>
      </c>
      <c r="T13" s="12">
        <v>5.9056200133683996</v>
      </c>
    </row>
    <row r="14" spans="1:20" x14ac:dyDescent="0.2">
      <c r="A14" s="10" t="s">
        <v>44</v>
      </c>
      <c r="B14" s="11">
        <v>7</v>
      </c>
      <c r="C14" s="11">
        <v>0</v>
      </c>
      <c r="D14" s="15">
        <v>0.04</v>
      </c>
      <c r="E14" s="11">
        <v>53.28</v>
      </c>
      <c r="F14" s="11">
        <v>84.05</v>
      </c>
      <c r="G14" s="11">
        <v>1270.06</v>
      </c>
      <c r="H14" s="11">
        <v>46.15</v>
      </c>
      <c r="I14" s="11">
        <v>1.61</v>
      </c>
      <c r="J14" s="11">
        <v>48.37</v>
      </c>
      <c r="K14" s="11">
        <v>0.65</v>
      </c>
      <c r="L14" s="12">
        <v>3.4751980769231001</v>
      </c>
      <c r="M14" s="12">
        <v>0.19229166666667</v>
      </c>
      <c r="N14" s="12">
        <v>0.10775641025641</v>
      </c>
      <c r="O14" s="12">
        <v>3.1751499999999999</v>
      </c>
      <c r="P14" s="11">
        <v>0</v>
      </c>
      <c r="Q14" s="12">
        <v>0</v>
      </c>
      <c r="R14" s="12">
        <v>91.366015108159004</v>
      </c>
      <c r="S14" s="12">
        <v>3.1007271491072999</v>
      </c>
      <c r="T14" s="12">
        <v>5.5332577427334</v>
      </c>
    </row>
    <row r="15" spans="1:20" x14ac:dyDescent="0.2">
      <c r="A15" s="10" t="s">
        <v>27</v>
      </c>
      <c r="B15" s="11">
        <v>7</v>
      </c>
      <c r="C15" s="11">
        <v>0</v>
      </c>
      <c r="D15" s="15">
        <v>0.04</v>
      </c>
      <c r="E15" s="11">
        <v>56</v>
      </c>
      <c r="F15" s="11">
        <v>56.11</v>
      </c>
      <c r="G15" s="11">
        <v>1354.31</v>
      </c>
      <c r="H15" s="11">
        <v>32.85</v>
      </c>
      <c r="I15" s="11">
        <v>9.5500000000000007</v>
      </c>
      <c r="J15" s="11">
        <v>62.84</v>
      </c>
      <c r="K15" s="11">
        <v>0.64</v>
      </c>
      <c r="L15" s="12">
        <v>3.5945858974359002</v>
      </c>
      <c r="M15" s="12">
        <v>0.136875</v>
      </c>
      <c r="N15" s="12">
        <v>7.1935897435896998E-2</v>
      </c>
      <c r="O15" s="12">
        <v>3.3857750000000002</v>
      </c>
      <c r="P15" s="11">
        <v>0</v>
      </c>
      <c r="Q15" s="12">
        <v>0</v>
      </c>
      <c r="R15" s="12">
        <v>94.190960978708006</v>
      </c>
      <c r="S15" s="12">
        <v>2.0012290563763999</v>
      </c>
      <c r="T15" s="12">
        <v>3.8078099649152</v>
      </c>
    </row>
    <row r="16" spans="1:20" x14ac:dyDescent="0.2">
      <c r="A16" s="10" t="s">
        <v>36</v>
      </c>
      <c r="B16" s="11">
        <v>7.2</v>
      </c>
      <c r="C16" s="11">
        <v>0</v>
      </c>
      <c r="D16" s="15">
        <v>0.04</v>
      </c>
      <c r="E16" s="11">
        <v>54.53</v>
      </c>
      <c r="F16" s="11">
        <v>60.97</v>
      </c>
      <c r="G16" s="11">
        <v>1137.5999999999999</v>
      </c>
      <c r="H16" s="11">
        <v>30.11</v>
      </c>
      <c r="I16" s="11">
        <v>1.54</v>
      </c>
      <c r="J16" s="11">
        <v>49.46</v>
      </c>
      <c r="K16" s="11">
        <v>0.65</v>
      </c>
      <c r="L16" s="12">
        <v>3.047625</v>
      </c>
      <c r="M16" s="12">
        <v>0.12545833333333001</v>
      </c>
      <c r="N16" s="12">
        <v>7.8166666666666995E-2</v>
      </c>
      <c r="O16" s="12">
        <v>2.8439999999999999</v>
      </c>
      <c r="P16" s="11">
        <v>0</v>
      </c>
      <c r="Q16" s="12">
        <v>0</v>
      </c>
      <c r="R16" s="12">
        <v>93.318567737172003</v>
      </c>
      <c r="S16" s="12">
        <v>2.5648387405493001</v>
      </c>
      <c r="T16" s="12">
        <v>4.1165935222782002</v>
      </c>
    </row>
    <row r="17" spans="1:20" x14ac:dyDescent="0.2">
      <c r="A17" s="10" t="s">
        <v>45</v>
      </c>
      <c r="B17" s="11">
        <v>7.2</v>
      </c>
      <c r="C17" s="11">
        <v>0</v>
      </c>
      <c r="D17" s="15">
        <v>0.04</v>
      </c>
      <c r="E17" s="11">
        <v>65.58</v>
      </c>
      <c r="F17" s="11">
        <v>53.23</v>
      </c>
      <c r="G17" s="11">
        <v>1386.39</v>
      </c>
      <c r="H17" s="11">
        <v>30.44</v>
      </c>
      <c r="I17" s="11">
        <v>1.51</v>
      </c>
      <c r="J17" s="11">
        <v>71.239999999999995</v>
      </c>
      <c r="K17" s="11">
        <v>0.64</v>
      </c>
      <c r="L17" s="12">
        <v>3.6610519230768999</v>
      </c>
      <c r="M17" s="12">
        <v>0.12683333333333</v>
      </c>
      <c r="N17" s="12">
        <v>6.8243589743590002E-2</v>
      </c>
      <c r="O17" s="12">
        <v>3.4659749999999998</v>
      </c>
      <c r="P17" s="11">
        <v>0</v>
      </c>
      <c r="Q17" s="12">
        <v>0</v>
      </c>
      <c r="R17" s="12">
        <v>94.671560874424003</v>
      </c>
      <c r="S17" s="12">
        <v>1.8640432088228001</v>
      </c>
      <c r="T17" s="12">
        <v>3.4643959167543001</v>
      </c>
    </row>
    <row r="18" spans="1:20" x14ac:dyDescent="0.2">
      <c r="A18" s="10" t="s">
        <v>28</v>
      </c>
      <c r="B18" s="11">
        <v>7.3</v>
      </c>
      <c r="C18" s="11">
        <v>0</v>
      </c>
      <c r="D18" s="15">
        <v>0.04</v>
      </c>
      <c r="E18" s="11">
        <v>70.38</v>
      </c>
      <c r="F18" s="11">
        <v>53.81</v>
      </c>
      <c r="G18" s="11">
        <v>1299.5</v>
      </c>
      <c r="H18" s="11">
        <v>26.96</v>
      </c>
      <c r="I18" s="11">
        <v>1.28</v>
      </c>
      <c r="J18" s="11">
        <v>52.76</v>
      </c>
      <c r="K18" s="11">
        <v>0.79</v>
      </c>
      <c r="L18" s="12">
        <v>3.4300705128205</v>
      </c>
      <c r="M18" s="12">
        <v>0.11233333333333</v>
      </c>
      <c r="N18" s="12">
        <v>6.8987179487179001E-2</v>
      </c>
      <c r="O18" s="12">
        <v>3.2487499999999998</v>
      </c>
      <c r="P18" s="11">
        <v>0</v>
      </c>
      <c r="Q18" s="12">
        <v>0</v>
      </c>
      <c r="R18" s="12">
        <v>94.713796344920993</v>
      </c>
      <c r="S18" s="12">
        <v>2.0112466851433002</v>
      </c>
      <c r="T18" s="12">
        <v>3.2749569699359</v>
      </c>
    </row>
    <row r="19" spans="1:20" x14ac:dyDescent="0.2">
      <c r="A19" s="10" t="s">
        <v>37</v>
      </c>
      <c r="B19" s="11">
        <v>7.2</v>
      </c>
      <c r="C19" s="11">
        <v>0</v>
      </c>
      <c r="D19" s="15">
        <v>0.04</v>
      </c>
      <c r="E19" s="11">
        <v>86.18</v>
      </c>
      <c r="F19" s="11">
        <v>57.6</v>
      </c>
      <c r="G19" s="11">
        <v>1342</v>
      </c>
      <c r="H19" s="11">
        <v>30.15</v>
      </c>
      <c r="I19" s="11">
        <v>1.49</v>
      </c>
      <c r="J19" s="11">
        <v>53.56</v>
      </c>
      <c r="K19" s="11">
        <v>0.69</v>
      </c>
      <c r="L19" s="12">
        <v>3.5544711538462002</v>
      </c>
      <c r="M19" s="12">
        <v>0.12562499999999999</v>
      </c>
      <c r="N19" s="12">
        <v>7.3846153846154006E-2</v>
      </c>
      <c r="O19" s="12">
        <v>3.355</v>
      </c>
      <c r="P19" s="11">
        <v>0</v>
      </c>
      <c r="Q19" s="12">
        <v>0</v>
      </c>
      <c r="R19" s="12">
        <v>94.388162255013</v>
      </c>
      <c r="S19" s="12">
        <v>2.0775567067480001</v>
      </c>
      <c r="T19" s="12">
        <v>3.5342810382373</v>
      </c>
    </row>
    <row r="20" spans="1:20" x14ac:dyDescent="0.2">
      <c r="A20" s="10" t="s">
        <v>46</v>
      </c>
      <c r="B20" s="11">
        <v>7</v>
      </c>
      <c r="C20" s="11">
        <v>0</v>
      </c>
      <c r="D20" s="15">
        <v>0.04</v>
      </c>
      <c r="E20" s="11">
        <v>81.88</v>
      </c>
      <c r="F20" s="11">
        <v>62.69</v>
      </c>
      <c r="G20" s="11">
        <v>1429.54</v>
      </c>
      <c r="H20" s="11">
        <v>32.200000000000003</v>
      </c>
      <c r="I20" s="11">
        <v>1.78</v>
      </c>
      <c r="J20" s="11">
        <v>73.09</v>
      </c>
      <c r="K20" s="11">
        <v>0.67</v>
      </c>
      <c r="L20" s="12">
        <v>3.7883884615385002</v>
      </c>
      <c r="M20" s="12">
        <v>0.13416666666666999</v>
      </c>
      <c r="N20" s="12">
        <v>8.0371794871794994E-2</v>
      </c>
      <c r="O20" s="12">
        <v>3.5738500000000002</v>
      </c>
      <c r="P20" s="11">
        <v>0</v>
      </c>
      <c r="Q20" s="12">
        <v>0</v>
      </c>
      <c r="R20" s="12">
        <v>94.336946600998999</v>
      </c>
      <c r="S20" s="12">
        <v>2.1215299246043</v>
      </c>
      <c r="T20" s="12">
        <v>3.5415234743953001</v>
      </c>
    </row>
    <row r="21" spans="1:20" x14ac:dyDescent="0.2">
      <c r="A21" s="10" t="s">
        <v>29</v>
      </c>
      <c r="B21" s="11">
        <v>7.1</v>
      </c>
      <c r="C21" s="11">
        <v>0</v>
      </c>
      <c r="D21" s="15">
        <v>0.04</v>
      </c>
      <c r="E21" s="11">
        <v>37.78</v>
      </c>
      <c r="F21" s="11">
        <v>44.41</v>
      </c>
      <c r="G21" s="11">
        <v>1302.3900000000001</v>
      </c>
      <c r="H21" s="11">
        <v>79.900000000000006</v>
      </c>
      <c r="I21" s="11">
        <v>0.85</v>
      </c>
      <c r="J21" s="11">
        <v>104.01</v>
      </c>
      <c r="K21" s="11">
        <v>0.66</v>
      </c>
      <c r="L21" s="12">
        <v>3.6458275641025999</v>
      </c>
      <c r="M21" s="12">
        <v>0.33291666666667002</v>
      </c>
      <c r="N21" s="12">
        <v>5.6935897435896998E-2</v>
      </c>
      <c r="O21" s="12">
        <v>3.2559749999999998</v>
      </c>
      <c r="P21" s="11">
        <v>0</v>
      </c>
      <c r="Q21" s="12">
        <v>0</v>
      </c>
      <c r="R21" s="12">
        <v>89.306884177925994</v>
      </c>
      <c r="S21" s="12">
        <v>1.5616728008887999</v>
      </c>
      <c r="T21" s="12">
        <v>9.1314430211845998</v>
      </c>
    </row>
    <row r="22" spans="1:20" x14ac:dyDescent="0.2">
      <c r="A22" s="10" t="s">
        <v>38</v>
      </c>
      <c r="B22" s="11">
        <v>7.4</v>
      </c>
      <c r="C22" s="11">
        <v>0</v>
      </c>
      <c r="D22" s="15">
        <v>0.04</v>
      </c>
      <c r="E22" s="11">
        <v>40.71</v>
      </c>
      <c r="F22" s="11">
        <v>59.64</v>
      </c>
      <c r="G22" s="11">
        <v>1106.3599999999999</v>
      </c>
      <c r="H22" s="11">
        <v>70.569999999999993</v>
      </c>
      <c r="I22" s="11">
        <v>1.22</v>
      </c>
      <c r="J22" s="11">
        <v>60.39</v>
      </c>
      <c r="K22" s="11">
        <v>0.68</v>
      </c>
      <c r="L22" s="12">
        <v>3.1364032051281998</v>
      </c>
      <c r="M22" s="12">
        <v>0.29404166666666998</v>
      </c>
      <c r="N22" s="12">
        <v>7.6461538461537998E-2</v>
      </c>
      <c r="O22" s="12">
        <v>2.7658999999999998</v>
      </c>
      <c r="P22" s="11">
        <v>0</v>
      </c>
      <c r="Q22" s="12">
        <v>0</v>
      </c>
      <c r="R22" s="12">
        <v>88.187003363521001</v>
      </c>
      <c r="S22" s="12">
        <v>2.4378733683385998</v>
      </c>
      <c r="T22" s="12">
        <v>9.3751232681402001</v>
      </c>
    </row>
    <row r="23" spans="1:20" x14ac:dyDescent="0.2">
      <c r="A23" s="10" t="s">
        <v>47</v>
      </c>
      <c r="B23" s="11">
        <v>7</v>
      </c>
      <c r="C23" s="11">
        <v>0</v>
      </c>
      <c r="D23" s="15">
        <v>0.04</v>
      </c>
      <c r="E23" s="11">
        <v>54.28</v>
      </c>
      <c r="F23" s="11">
        <v>101.45</v>
      </c>
      <c r="G23" s="11">
        <v>1215.1500000000001</v>
      </c>
      <c r="H23" s="11">
        <v>96.33</v>
      </c>
      <c r="I23" s="11">
        <v>1.99</v>
      </c>
      <c r="J23" s="11">
        <v>59.8</v>
      </c>
      <c r="K23" s="11">
        <v>0.7</v>
      </c>
      <c r="L23" s="12">
        <v>3.5693141025641002</v>
      </c>
      <c r="M23" s="12">
        <v>0.40137499999999998</v>
      </c>
      <c r="N23" s="12">
        <v>0.1300641025641</v>
      </c>
      <c r="O23" s="12">
        <v>3.0378750000000001</v>
      </c>
      <c r="P23" s="11">
        <v>0</v>
      </c>
      <c r="Q23" s="12">
        <v>0</v>
      </c>
      <c r="R23" s="12">
        <v>85.110890011547994</v>
      </c>
      <c r="S23" s="12">
        <v>3.6439522784129998</v>
      </c>
      <c r="T23" s="12">
        <v>11.245157710039001</v>
      </c>
    </row>
    <row r="24" spans="1:20" x14ac:dyDescent="0.2">
      <c r="A24" s="10" t="s">
        <v>30</v>
      </c>
      <c r="B24" s="11">
        <v>7</v>
      </c>
      <c r="C24" s="11">
        <v>0</v>
      </c>
      <c r="D24" s="15">
        <v>0.04</v>
      </c>
      <c r="E24" s="11">
        <v>48.09</v>
      </c>
      <c r="F24" s="11">
        <v>51.39</v>
      </c>
      <c r="G24" s="11">
        <v>1206.6199999999999</v>
      </c>
      <c r="H24" s="11">
        <v>69.97</v>
      </c>
      <c r="I24" s="11">
        <v>1.51</v>
      </c>
      <c r="J24" s="11">
        <v>84.19</v>
      </c>
      <c r="K24" s="11">
        <v>0.66</v>
      </c>
      <c r="L24" s="12">
        <v>3.3739762820513</v>
      </c>
      <c r="M24" s="12">
        <v>0.29154166666666997</v>
      </c>
      <c r="N24" s="12">
        <v>6.5884615384615E-2</v>
      </c>
      <c r="O24" s="12">
        <v>3.0165500000000001</v>
      </c>
      <c r="P24" s="11">
        <v>0</v>
      </c>
      <c r="Q24" s="12">
        <v>0</v>
      </c>
      <c r="R24" s="12">
        <v>89.406378344960004</v>
      </c>
      <c r="S24" s="12">
        <v>1.9527290614076001</v>
      </c>
      <c r="T24" s="12">
        <v>8.6408925936319996</v>
      </c>
    </row>
    <row r="25" spans="1:20" x14ac:dyDescent="0.2">
      <c r="A25" s="10" t="s">
        <v>39</v>
      </c>
      <c r="B25" s="11">
        <v>7.3</v>
      </c>
      <c r="C25" s="11">
        <v>0</v>
      </c>
      <c r="D25" s="15">
        <v>0.04</v>
      </c>
      <c r="E25" s="11">
        <v>61.85</v>
      </c>
      <c r="F25" s="11">
        <v>64.150000000000006</v>
      </c>
      <c r="G25" s="11">
        <v>1289.4000000000001</v>
      </c>
      <c r="H25" s="11">
        <v>92.51</v>
      </c>
      <c r="I25" s="11">
        <v>1.78</v>
      </c>
      <c r="J25" s="11">
        <v>70.52</v>
      </c>
      <c r="K25" s="11">
        <v>0.64</v>
      </c>
      <c r="L25" s="12">
        <v>3.6912019230769002</v>
      </c>
      <c r="M25" s="12">
        <v>0.38545833333333002</v>
      </c>
      <c r="N25" s="12">
        <v>8.2243589743590001E-2</v>
      </c>
      <c r="O25" s="12">
        <v>3.2235</v>
      </c>
      <c r="P25" s="11">
        <v>0</v>
      </c>
      <c r="Q25" s="12">
        <v>0</v>
      </c>
      <c r="R25" s="12">
        <v>87.329278299490994</v>
      </c>
      <c r="S25" s="12">
        <v>2.2280978244353</v>
      </c>
      <c r="T25" s="12">
        <v>10.442623876074</v>
      </c>
    </row>
    <row r="26" spans="1:20" x14ac:dyDescent="0.2">
      <c r="A26" s="10" t="s">
        <v>48</v>
      </c>
      <c r="B26" s="11">
        <v>7</v>
      </c>
      <c r="C26" s="11">
        <v>0</v>
      </c>
      <c r="D26" s="15">
        <v>0.04</v>
      </c>
      <c r="E26" s="11">
        <v>60.59</v>
      </c>
      <c r="F26" s="11">
        <v>84.26</v>
      </c>
      <c r="G26" s="11">
        <v>1134.47</v>
      </c>
      <c r="H26" s="11">
        <v>72.400000000000006</v>
      </c>
      <c r="I26" s="11">
        <v>1.54</v>
      </c>
      <c r="J26" s="11">
        <v>51.03</v>
      </c>
      <c r="K26" s="11">
        <v>0.63</v>
      </c>
      <c r="L26" s="12">
        <v>3.2458673076923001</v>
      </c>
      <c r="M26" s="12">
        <v>0.30166666666667002</v>
      </c>
      <c r="N26" s="12">
        <v>0.10802564102564</v>
      </c>
      <c r="O26" s="12">
        <v>2.8361749999999999</v>
      </c>
      <c r="P26" s="11">
        <v>0</v>
      </c>
      <c r="Q26" s="12">
        <v>0</v>
      </c>
      <c r="R26" s="12">
        <v>87.378032776590004</v>
      </c>
      <c r="S26" s="12">
        <v>3.3280978790978999</v>
      </c>
      <c r="T26" s="12">
        <v>9.2938693443123004</v>
      </c>
    </row>
    <row r="27" spans="1:20" x14ac:dyDescent="0.2">
      <c r="A27" s="10" t="s">
        <v>31</v>
      </c>
      <c r="B27" s="11">
        <v>7.4</v>
      </c>
      <c r="C27" s="11">
        <v>0</v>
      </c>
      <c r="D27" s="15">
        <v>0.04</v>
      </c>
      <c r="E27" s="11">
        <v>77.72</v>
      </c>
      <c r="F27" s="11">
        <v>41.25</v>
      </c>
      <c r="G27" s="11">
        <v>1346.09</v>
      </c>
      <c r="H27" s="11">
        <v>100.89</v>
      </c>
      <c r="I27" s="11">
        <v>1.23</v>
      </c>
      <c r="J27" s="11">
        <v>91.17</v>
      </c>
      <c r="K27" s="11">
        <v>0.69</v>
      </c>
      <c r="L27" s="12">
        <v>3.8384846153846</v>
      </c>
      <c r="M27" s="12">
        <v>0.420375</v>
      </c>
      <c r="N27" s="12">
        <v>5.2884615384615002E-2</v>
      </c>
      <c r="O27" s="12">
        <v>3.3652250000000001</v>
      </c>
      <c r="P27" s="11">
        <v>0</v>
      </c>
      <c r="Q27" s="12">
        <v>0</v>
      </c>
      <c r="R27" s="12">
        <v>87.670665306621999</v>
      </c>
      <c r="S27" s="12">
        <v>1.3777472279726</v>
      </c>
      <c r="T27" s="12">
        <v>10.951587465406</v>
      </c>
    </row>
    <row r="28" spans="1:20" x14ac:dyDescent="0.2">
      <c r="A28" s="10" t="s">
        <v>40</v>
      </c>
      <c r="B28" s="11">
        <v>7.4</v>
      </c>
      <c r="C28" s="11">
        <v>0</v>
      </c>
      <c r="D28" s="15">
        <v>0.04</v>
      </c>
      <c r="E28" s="11">
        <v>78.11</v>
      </c>
      <c r="F28" s="11">
        <v>48.36</v>
      </c>
      <c r="G28" s="11">
        <v>1255.3800000000001</v>
      </c>
      <c r="H28" s="11">
        <v>111.46</v>
      </c>
      <c r="I28" s="11">
        <v>6.59</v>
      </c>
      <c r="J28" s="11">
        <v>124.94</v>
      </c>
      <c r="K28" s="11">
        <v>0.72</v>
      </c>
      <c r="L28" s="12">
        <v>3.6648666666667</v>
      </c>
      <c r="M28" s="12">
        <v>0.46441666666666997</v>
      </c>
      <c r="N28" s="12">
        <v>6.2E-2</v>
      </c>
      <c r="O28" s="12">
        <v>3.1384500000000002</v>
      </c>
      <c r="P28" s="11">
        <v>0</v>
      </c>
      <c r="Q28" s="12">
        <v>0</v>
      </c>
      <c r="R28" s="12">
        <v>85.636130464044996</v>
      </c>
      <c r="S28" s="12">
        <v>1.6917395812489999</v>
      </c>
      <c r="T28" s="12">
        <v>12.672129954704999</v>
      </c>
    </row>
    <row r="29" spans="1:20" x14ac:dyDescent="0.2">
      <c r="A29" s="10" t="s">
        <v>49</v>
      </c>
      <c r="B29" s="11">
        <v>7</v>
      </c>
      <c r="C29" s="11">
        <v>0</v>
      </c>
      <c r="D29" s="15">
        <v>0.04</v>
      </c>
      <c r="E29" s="11">
        <v>91.56</v>
      </c>
      <c r="F29" s="11">
        <v>61.22</v>
      </c>
      <c r="G29" s="11">
        <v>1419.63</v>
      </c>
      <c r="H29" s="11">
        <v>138.61000000000001</v>
      </c>
      <c r="I29" s="11">
        <v>1.71</v>
      </c>
      <c r="J29" s="11">
        <v>114.99</v>
      </c>
      <c r="K29" s="11">
        <v>0.7</v>
      </c>
      <c r="L29" s="12">
        <v>4.2051038461537997</v>
      </c>
      <c r="M29" s="12">
        <v>0.57754166666666995</v>
      </c>
      <c r="N29" s="12">
        <v>7.8487179487178996E-2</v>
      </c>
      <c r="O29" s="12">
        <v>3.5490750000000002</v>
      </c>
      <c r="P29" s="11">
        <v>0</v>
      </c>
      <c r="Q29" s="12">
        <v>0</v>
      </c>
      <c r="R29" s="12">
        <v>84.39922365404</v>
      </c>
      <c r="S29" s="12">
        <v>1.8664742265275001</v>
      </c>
      <c r="T29" s="12">
        <v>13.734302119433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3:T29">
    <sortCondition ref="A1:A29"/>
  </sortState>
  <mergeCells count="3">
    <mergeCell ref="E1:J1"/>
    <mergeCell ref="R1:T1"/>
    <mergeCell ref="M1:P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146F-1605-E04E-80EB-E0CC7B871C7D}">
  <dimension ref="A1:V44"/>
  <sheetViews>
    <sheetView tabSelected="1" topLeftCell="A15" workbookViewId="0">
      <selection activeCell="A34" sqref="A34:F34"/>
    </sheetView>
  </sheetViews>
  <sheetFormatPr baseColWidth="10" defaultRowHeight="15" x14ac:dyDescent="0.2"/>
  <cols>
    <col min="1" max="1" width="14" customWidth="1"/>
    <col min="2" max="2" width="12.33203125" bestFit="1" customWidth="1"/>
    <col min="3" max="3" width="13.83203125" bestFit="1" customWidth="1"/>
    <col min="4" max="4" width="14.83203125" bestFit="1" customWidth="1"/>
    <col min="11" max="11" width="8.1640625" bestFit="1" customWidth="1"/>
    <col min="12" max="12" width="8.6640625" bestFit="1" customWidth="1"/>
    <col min="13" max="13" width="8.1640625" customWidth="1"/>
  </cols>
  <sheetData>
    <row r="1" spans="1:22" ht="16" x14ac:dyDescent="0.2">
      <c r="A1" s="6"/>
      <c r="B1" s="13"/>
      <c r="C1" s="13"/>
      <c r="D1" s="13"/>
      <c r="E1" s="17" t="s"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6"/>
      <c r="V1" s="16"/>
    </row>
    <row r="2" spans="1:22" ht="35" thickBot="1" x14ac:dyDescent="0.25">
      <c r="A2" s="3" t="s">
        <v>3</v>
      </c>
      <c r="B2" s="14" t="s">
        <v>6</v>
      </c>
      <c r="C2" s="14" t="s">
        <v>50</v>
      </c>
      <c r="D2" s="14" t="s">
        <v>51</v>
      </c>
      <c r="E2" s="4" t="s">
        <v>7</v>
      </c>
      <c r="F2" s="14" t="s">
        <v>50</v>
      </c>
      <c r="G2" s="14" t="s">
        <v>51</v>
      </c>
      <c r="H2" s="4" t="s">
        <v>8</v>
      </c>
      <c r="I2" s="14" t="s">
        <v>50</v>
      </c>
      <c r="J2" s="14" t="s">
        <v>51</v>
      </c>
      <c r="K2" s="4" t="s">
        <v>9</v>
      </c>
      <c r="L2" s="14" t="s">
        <v>50</v>
      </c>
      <c r="M2" s="14" t="s">
        <v>51</v>
      </c>
      <c r="N2" s="4" t="s">
        <v>10</v>
      </c>
      <c r="O2" s="14" t="s">
        <v>50</v>
      </c>
      <c r="P2" s="14" t="s">
        <v>51</v>
      </c>
      <c r="Q2" s="4" t="s">
        <v>11</v>
      </c>
      <c r="R2" s="14" t="s">
        <v>50</v>
      </c>
      <c r="S2" s="14" t="s">
        <v>51</v>
      </c>
      <c r="T2" s="4" t="s">
        <v>12</v>
      </c>
      <c r="U2" s="14" t="s">
        <v>50</v>
      </c>
      <c r="V2" s="14" t="s">
        <v>51</v>
      </c>
    </row>
    <row r="3" spans="1:22" ht="16" x14ac:dyDescent="0.2">
      <c r="A3" s="10" t="s">
        <v>23</v>
      </c>
      <c r="B3" s="15">
        <v>0.04</v>
      </c>
      <c r="C3" s="15"/>
      <c r="D3" s="15"/>
      <c r="E3" s="11">
        <v>47.23</v>
      </c>
      <c r="F3" s="11"/>
      <c r="G3" s="11"/>
      <c r="H3" s="11">
        <v>68.12</v>
      </c>
      <c r="I3" s="11"/>
      <c r="J3" s="11"/>
      <c r="K3" s="11">
        <v>1212.23</v>
      </c>
      <c r="L3" s="11"/>
      <c r="M3" s="11"/>
      <c r="N3" s="11">
        <v>36.130000000000003</v>
      </c>
      <c r="O3" s="11"/>
      <c r="P3" s="11"/>
      <c r="Q3" s="11">
        <v>1.27</v>
      </c>
      <c r="R3" s="11"/>
      <c r="S3" s="11"/>
      <c r="T3" s="11">
        <v>48.11</v>
      </c>
      <c r="U3" s="11"/>
      <c r="V3" s="11"/>
    </row>
    <row r="4" spans="1:22" ht="16" x14ac:dyDescent="0.2">
      <c r="A4" s="10" t="s">
        <v>32</v>
      </c>
      <c r="B4" s="15">
        <v>0.04</v>
      </c>
      <c r="C4" s="15">
        <f>AVERAGE(B3:B5)</f>
        <v>0.04</v>
      </c>
      <c r="D4" s="15">
        <f>_xlfn.STDEV.S(B3:B5)</f>
        <v>0</v>
      </c>
      <c r="E4" s="11">
        <v>44.67</v>
      </c>
      <c r="F4" s="15">
        <f>AVERAGE(E3:E5)</f>
        <v>46.573333333333331</v>
      </c>
      <c r="G4" s="15">
        <f>_xlfn.STDEV.S(E3:E5)</f>
        <v>1.6745248082167457</v>
      </c>
      <c r="H4" s="11">
        <v>75.77</v>
      </c>
      <c r="I4" s="15">
        <f>AVERAGE(H3:H5)</f>
        <v>67.176666666666662</v>
      </c>
      <c r="J4" s="15">
        <f>_xlfn.STDEV.S(H3:H5)</f>
        <v>9.1017379292822564</v>
      </c>
      <c r="K4" s="11">
        <v>1171.57</v>
      </c>
      <c r="L4" s="15">
        <f>AVERAGE(K3:K5)</f>
        <v>1221.8800000000001</v>
      </c>
      <c r="M4" s="15">
        <f>_xlfn.STDEV.S(K3:K5)</f>
        <v>55.764774723834385</v>
      </c>
      <c r="N4" s="11">
        <v>42.89</v>
      </c>
      <c r="O4" s="15">
        <f>AVERAGE(N3:N5)</f>
        <v>37.880000000000003</v>
      </c>
      <c r="P4" s="15">
        <f>_xlfn.STDEV.S(N3:N5)</f>
        <v>4.4039868301347136</v>
      </c>
      <c r="Q4" s="11">
        <v>1.22</v>
      </c>
      <c r="R4" s="15">
        <f>AVERAGE(Q3:Q5)</f>
        <v>1.6133333333333333</v>
      </c>
      <c r="S4" s="15">
        <f>_xlfn.STDEV.S(Q3:Q5)</f>
        <v>0.63846169292553012</v>
      </c>
      <c r="T4" s="11">
        <v>50.33</v>
      </c>
      <c r="U4" s="15">
        <f>AVERAGE(T3:T5)</f>
        <v>55.129999999999995</v>
      </c>
      <c r="V4" s="15">
        <f>_xlfn.STDEV.S(T3:T5)</f>
        <v>10.296426564590282</v>
      </c>
    </row>
    <row r="5" spans="1:22" ht="16" x14ac:dyDescent="0.2">
      <c r="A5" s="10" t="s">
        <v>41</v>
      </c>
      <c r="B5" s="15">
        <v>0.04</v>
      </c>
      <c r="C5" s="15"/>
      <c r="D5" s="15"/>
      <c r="E5" s="11">
        <v>47.82</v>
      </c>
      <c r="F5" s="11"/>
      <c r="G5" s="11"/>
      <c r="H5" s="11">
        <v>57.64</v>
      </c>
      <c r="I5" s="11"/>
      <c r="J5" s="11"/>
      <c r="K5" s="11">
        <v>1281.8399999999999</v>
      </c>
      <c r="L5" s="11"/>
      <c r="M5" s="11"/>
      <c r="N5" s="11">
        <v>34.619999999999997</v>
      </c>
      <c r="O5" s="11"/>
      <c r="P5" s="11"/>
      <c r="Q5" s="11">
        <v>2.35</v>
      </c>
      <c r="R5" s="11"/>
      <c r="S5" s="11"/>
      <c r="T5" s="11">
        <v>66.95</v>
      </c>
      <c r="U5" s="11"/>
      <c r="V5" s="11"/>
    </row>
    <row r="6" spans="1:22" ht="16" x14ac:dyDescent="0.2">
      <c r="A6" s="10" t="s">
        <v>24</v>
      </c>
      <c r="B6" s="15">
        <v>0.04</v>
      </c>
      <c r="C6" s="15"/>
      <c r="D6" s="15"/>
      <c r="E6" s="11">
        <v>59.72</v>
      </c>
      <c r="F6" s="11"/>
      <c r="G6" s="11"/>
      <c r="H6" s="11">
        <v>65.02</v>
      </c>
      <c r="I6" s="11"/>
      <c r="J6" s="11"/>
      <c r="K6" s="11">
        <v>1128.04</v>
      </c>
      <c r="L6" s="11"/>
      <c r="M6" s="11"/>
      <c r="N6" s="11">
        <v>34.369999999999997</v>
      </c>
      <c r="O6" s="11"/>
      <c r="P6" s="11"/>
      <c r="Q6" s="11">
        <v>3.35</v>
      </c>
      <c r="R6" s="11"/>
      <c r="S6" s="11"/>
      <c r="T6" s="11">
        <v>46.15</v>
      </c>
      <c r="U6" s="11"/>
      <c r="V6" s="11"/>
    </row>
    <row r="7" spans="1:22" ht="16" x14ac:dyDescent="0.2">
      <c r="A7" s="10" t="s">
        <v>33</v>
      </c>
      <c r="B7" s="15">
        <v>0.04</v>
      </c>
      <c r="C7" s="15">
        <f>AVERAGE(B6:B8)</f>
        <v>0.04</v>
      </c>
      <c r="D7" s="15">
        <f>_xlfn.STDEV.S(B6:B8)</f>
        <v>0</v>
      </c>
      <c r="E7" s="11">
        <v>62.54</v>
      </c>
      <c r="F7" s="15">
        <f>AVERAGE(E6:E8)</f>
        <v>59.816666666666663</v>
      </c>
      <c r="G7" s="15">
        <f>_xlfn.STDEV.S(E6:E8)</f>
        <v>2.6763096482532318</v>
      </c>
      <c r="H7" s="11">
        <v>68.010000000000005</v>
      </c>
      <c r="I7" s="15">
        <f>AVERAGE(H6:H8)</f>
        <v>66.073333333333338</v>
      </c>
      <c r="J7" s="15">
        <f>_xlfn.STDEV.S(H6:H8)</f>
        <v>1.6793550349266082</v>
      </c>
      <c r="K7" s="11">
        <v>1224.1099999999999</v>
      </c>
      <c r="L7" s="15">
        <f>AVERAGE(K6:K8)</f>
        <v>1182.7866666666666</v>
      </c>
      <c r="M7" s="15">
        <f>_xlfn.STDEV.S(K6:K8)</f>
        <v>49.421661580053453</v>
      </c>
      <c r="N7" s="11">
        <v>36.43</v>
      </c>
      <c r="O7" s="15">
        <f>AVERAGE(N6:N8)</f>
        <v>36.116666666666667</v>
      </c>
      <c r="P7" s="15">
        <f>_xlfn.STDEV.S(N6:N8)</f>
        <v>1.6129889439588028</v>
      </c>
      <c r="Q7" s="11">
        <v>1.75</v>
      </c>
      <c r="R7" s="15">
        <f>AVERAGE(Q6:Q8)</f>
        <v>2.36</v>
      </c>
      <c r="S7" s="15">
        <f>_xlfn.STDEV.S(Q6:Q8)</f>
        <v>0.86504335151482459</v>
      </c>
      <c r="T7" s="11">
        <v>47.56</v>
      </c>
      <c r="U7" s="15">
        <f>AVERAGE(T6:T8)</f>
        <v>49.220000000000006</v>
      </c>
      <c r="V7" s="15">
        <f>_xlfn.STDEV.S(T6:T8)</f>
        <v>4.1565249909028594</v>
      </c>
    </row>
    <row r="8" spans="1:22" ht="16" x14ac:dyDescent="0.2">
      <c r="A8" s="10" t="s">
        <v>42</v>
      </c>
      <c r="B8" s="15">
        <v>0.04</v>
      </c>
      <c r="C8" s="15"/>
      <c r="D8" s="15"/>
      <c r="E8" s="11">
        <v>57.19</v>
      </c>
      <c r="F8" s="11"/>
      <c r="G8" s="11"/>
      <c r="H8" s="11">
        <v>65.19</v>
      </c>
      <c r="I8" s="11"/>
      <c r="J8" s="11"/>
      <c r="K8" s="11">
        <v>1196.21</v>
      </c>
      <c r="L8" s="11"/>
      <c r="M8" s="11"/>
      <c r="N8" s="11">
        <v>37.549999999999997</v>
      </c>
      <c r="O8" s="11"/>
      <c r="P8" s="11"/>
      <c r="Q8" s="11">
        <v>1.98</v>
      </c>
      <c r="R8" s="11"/>
      <c r="S8" s="11"/>
      <c r="T8" s="11">
        <v>53.95</v>
      </c>
      <c r="U8" s="11"/>
      <c r="V8" s="11"/>
    </row>
    <row r="9" spans="1:22" ht="16" x14ac:dyDescent="0.2">
      <c r="A9" s="10" t="s">
        <v>25</v>
      </c>
      <c r="B9" s="15">
        <v>0.04</v>
      </c>
      <c r="C9" s="15"/>
      <c r="D9" s="15"/>
      <c r="E9" s="11">
        <v>82.38</v>
      </c>
      <c r="F9" s="11"/>
      <c r="G9" s="11"/>
      <c r="H9" s="11">
        <v>48.41</v>
      </c>
      <c r="I9" s="11"/>
      <c r="J9" s="11"/>
      <c r="K9" s="11">
        <v>1425.49</v>
      </c>
      <c r="L9" s="11"/>
      <c r="M9" s="11"/>
      <c r="N9" s="11">
        <v>26.94</v>
      </c>
      <c r="O9" s="11"/>
      <c r="P9" s="11"/>
      <c r="Q9" s="11">
        <v>1.49</v>
      </c>
      <c r="R9" s="11"/>
      <c r="S9" s="11"/>
      <c r="T9" s="11">
        <v>64.790000000000006</v>
      </c>
      <c r="U9" s="11"/>
      <c r="V9" s="11"/>
    </row>
    <row r="10" spans="1:22" ht="16" x14ac:dyDescent="0.2">
      <c r="A10" s="10" t="s">
        <v>34</v>
      </c>
      <c r="B10" s="15">
        <v>0.04</v>
      </c>
      <c r="C10" s="15">
        <f>AVERAGE(B9:B11)</f>
        <v>0.04</v>
      </c>
      <c r="D10" s="15">
        <f>_xlfn.STDEV.S(B9:B11)</f>
        <v>0</v>
      </c>
      <c r="E10" s="11">
        <v>79.31</v>
      </c>
      <c r="F10" s="15">
        <f>AVERAGE(E9:E11)</f>
        <v>78.013333333333335</v>
      </c>
      <c r="G10" s="15">
        <f>_xlfn.STDEV.S(E9:E11)</f>
        <v>5.1391860574738244</v>
      </c>
      <c r="H10" s="11">
        <v>58.25</v>
      </c>
      <c r="I10" s="15">
        <f>AVERAGE(H9:H11)</f>
        <v>52.196666666666665</v>
      </c>
      <c r="J10" s="15">
        <f>_xlfn.STDEV.S(H9:H11)</f>
        <v>5.297143884522427</v>
      </c>
      <c r="K10" s="11">
        <v>1314.96</v>
      </c>
      <c r="L10" s="15">
        <f>AVERAGE(K9:K11)</f>
        <v>1416.3533333333332</v>
      </c>
      <c r="M10" s="15">
        <f>_xlfn.STDEV.S(K9:K11)</f>
        <v>97.147772148069976</v>
      </c>
      <c r="N10" s="11">
        <v>31.23</v>
      </c>
      <c r="O10" s="15">
        <f>AVERAGE(N9:N11)</f>
        <v>29.173333333333336</v>
      </c>
      <c r="P10" s="15">
        <f>_xlfn.STDEV.S(N9:N11)</f>
        <v>2.1504495654009959</v>
      </c>
      <c r="Q10" s="11">
        <v>1.1200000000000001</v>
      </c>
      <c r="R10" s="15">
        <f>AVERAGE(Q9:Q11)</f>
        <v>1.4633333333333336</v>
      </c>
      <c r="S10" s="15">
        <f>_xlfn.STDEV.S(Q9:Q11)</f>
        <v>0.33080709383768148</v>
      </c>
      <c r="T10" s="11">
        <v>51.18</v>
      </c>
      <c r="U10" s="15">
        <f>AVERAGE(T9:T11)</f>
        <v>62.15</v>
      </c>
      <c r="V10" s="15">
        <f>_xlfn.STDEV.S(T9:T11)</f>
        <v>9.9171417253158971</v>
      </c>
    </row>
    <row r="11" spans="1:22" ht="16" x14ac:dyDescent="0.2">
      <c r="A11" s="10" t="s">
        <v>43</v>
      </c>
      <c r="B11" s="15">
        <v>0.04</v>
      </c>
      <c r="C11" s="15"/>
      <c r="D11" s="15"/>
      <c r="E11" s="11">
        <v>72.349999999999994</v>
      </c>
      <c r="F11" s="11"/>
      <c r="G11" s="11"/>
      <c r="H11" s="11">
        <v>49.93</v>
      </c>
      <c r="I11" s="11"/>
      <c r="J11" s="11"/>
      <c r="K11" s="11">
        <v>1508.61</v>
      </c>
      <c r="L11" s="11"/>
      <c r="M11" s="11"/>
      <c r="N11" s="11">
        <v>29.35</v>
      </c>
      <c r="O11" s="11"/>
      <c r="P11" s="11"/>
      <c r="Q11" s="11">
        <v>1.78</v>
      </c>
      <c r="R11" s="11"/>
      <c r="S11" s="11"/>
      <c r="T11" s="11">
        <v>70.48</v>
      </c>
      <c r="U11" s="11"/>
      <c r="V11" s="11"/>
    </row>
    <row r="12" spans="1:22" ht="16" x14ac:dyDescent="0.2">
      <c r="A12" s="10" t="s">
        <v>26</v>
      </c>
      <c r="B12" s="15">
        <v>0.05</v>
      </c>
      <c r="C12" s="15"/>
      <c r="D12" s="15"/>
      <c r="E12" s="11">
        <v>47.11</v>
      </c>
      <c r="F12" s="11"/>
      <c r="G12" s="11"/>
      <c r="H12" s="11">
        <v>69.31</v>
      </c>
      <c r="I12" s="11"/>
      <c r="J12" s="11"/>
      <c r="K12" s="11">
        <v>1465.98</v>
      </c>
      <c r="L12" s="11"/>
      <c r="M12" s="11"/>
      <c r="N12" s="11">
        <v>42.42</v>
      </c>
      <c r="O12" s="11"/>
      <c r="P12" s="11"/>
      <c r="Q12" s="11">
        <v>1.1100000000000001</v>
      </c>
      <c r="R12" s="11"/>
      <c r="S12" s="11"/>
      <c r="T12" s="11">
        <v>77.16</v>
      </c>
      <c r="U12" s="11"/>
      <c r="V12" s="11"/>
    </row>
    <row r="13" spans="1:22" ht="16" x14ac:dyDescent="0.2">
      <c r="A13" s="10" t="s">
        <v>35</v>
      </c>
      <c r="B13" s="15">
        <v>0.04</v>
      </c>
      <c r="C13" s="15">
        <f>AVERAGE(B12:B14)</f>
        <v>4.3333333333333335E-2</v>
      </c>
      <c r="D13" s="15">
        <f>_xlfn.STDEV.S(B12:B14)</f>
        <v>5.773502691896258E-3</v>
      </c>
      <c r="E13" s="11">
        <v>54.32</v>
      </c>
      <c r="F13" s="15">
        <f>AVERAGE(E12:E14)</f>
        <v>51.57</v>
      </c>
      <c r="G13" s="15">
        <f>_xlfn.STDEV.S(E12:E14)</f>
        <v>3.8973195917194174</v>
      </c>
      <c r="H13" s="11">
        <v>77.430000000000007</v>
      </c>
      <c r="I13" s="15">
        <f>AVERAGE(H12:H14)</f>
        <v>76.930000000000007</v>
      </c>
      <c r="J13" s="15">
        <f>_xlfn.STDEV.S(H12:H14)</f>
        <v>7.382709529705199</v>
      </c>
      <c r="K13" s="11">
        <v>1162.97</v>
      </c>
      <c r="L13" s="15">
        <f>AVERAGE(K12:K14)</f>
        <v>1299.6699999999998</v>
      </c>
      <c r="M13" s="15">
        <f>_xlfn.STDEV.S(K12:K14)</f>
        <v>153.65978361301958</v>
      </c>
      <c r="N13" s="11">
        <v>45.29</v>
      </c>
      <c r="O13" s="15">
        <f>AVERAGE(N12:N14)</f>
        <v>44.620000000000005</v>
      </c>
      <c r="P13" s="15">
        <f>_xlfn.STDEV.S(N12:N14)</f>
        <v>1.9531768993104526</v>
      </c>
      <c r="Q13" s="11">
        <v>1.19</v>
      </c>
      <c r="R13" s="15">
        <f>AVERAGE(Q12:Q14)</f>
        <v>1.3033333333333335</v>
      </c>
      <c r="S13" s="15">
        <f>_xlfn.STDEV.S(Q12:Q14)</f>
        <v>0.26857649437978259</v>
      </c>
      <c r="T13" s="11">
        <v>41.05</v>
      </c>
      <c r="U13" s="15">
        <f>AVERAGE(T12:T14)</f>
        <v>55.526666666666664</v>
      </c>
      <c r="V13" s="15">
        <f>_xlfn.STDEV.S(T12:T14)</f>
        <v>19.089170577406822</v>
      </c>
    </row>
    <row r="14" spans="1:22" ht="16" x14ac:dyDescent="0.2">
      <c r="A14" s="10" t="s">
        <v>44</v>
      </c>
      <c r="B14" s="15">
        <v>0.04</v>
      </c>
      <c r="C14" s="15"/>
      <c r="D14" s="15"/>
      <c r="E14" s="11">
        <v>53.28</v>
      </c>
      <c r="F14" s="11"/>
      <c r="G14" s="11"/>
      <c r="H14" s="11">
        <v>84.05</v>
      </c>
      <c r="I14" s="11"/>
      <c r="J14" s="11"/>
      <c r="K14" s="11">
        <v>1270.06</v>
      </c>
      <c r="L14" s="11"/>
      <c r="M14" s="11"/>
      <c r="N14" s="11">
        <v>46.15</v>
      </c>
      <c r="O14" s="11"/>
      <c r="P14" s="11"/>
      <c r="Q14" s="11">
        <v>1.61</v>
      </c>
      <c r="R14" s="11"/>
      <c r="S14" s="11"/>
      <c r="T14" s="11">
        <v>48.37</v>
      </c>
      <c r="U14" s="11"/>
      <c r="V14" s="11"/>
    </row>
    <row r="15" spans="1:22" ht="16" x14ac:dyDescent="0.2">
      <c r="A15" s="10" t="s">
        <v>27</v>
      </c>
      <c r="B15" s="15">
        <v>0.04</v>
      </c>
      <c r="C15" s="15"/>
      <c r="D15" s="15"/>
      <c r="E15" s="11">
        <v>56</v>
      </c>
      <c r="F15" s="11"/>
      <c r="G15" s="11"/>
      <c r="H15" s="11">
        <v>56.11</v>
      </c>
      <c r="I15" s="11"/>
      <c r="J15" s="11"/>
      <c r="K15" s="11">
        <v>1354.31</v>
      </c>
      <c r="L15" s="11"/>
      <c r="M15" s="11"/>
      <c r="N15" s="11">
        <v>32.85</v>
      </c>
      <c r="O15" s="11"/>
      <c r="P15" s="11"/>
      <c r="Q15" s="11">
        <v>9.5500000000000007</v>
      </c>
      <c r="R15" s="11"/>
      <c r="S15" s="11"/>
      <c r="T15" s="11">
        <v>62.84</v>
      </c>
      <c r="U15" s="11"/>
      <c r="V15" s="11"/>
    </row>
    <row r="16" spans="1:22" ht="16" x14ac:dyDescent="0.2">
      <c r="A16" s="10" t="s">
        <v>36</v>
      </c>
      <c r="B16" s="15">
        <v>0.04</v>
      </c>
      <c r="C16" s="15">
        <f>AVERAGE(B15:B17)</f>
        <v>0.04</v>
      </c>
      <c r="D16" s="15">
        <f>_xlfn.STDEV.S(B15:B17)</f>
        <v>0</v>
      </c>
      <c r="E16" s="11">
        <v>54.53</v>
      </c>
      <c r="F16" s="15">
        <f>AVERAGE(E15:E17)</f>
        <v>58.70333333333334</v>
      </c>
      <c r="G16" s="15">
        <f>_xlfn.STDEV.S(E15:E17)</f>
        <v>6.0005527523165165</v>
      </c>
      <c r="H16" s="11">
        <v>60.97</v>
      </c>
      <c r="I16" s="15">
        <f>AVERAGE(H15:H17)</f>
        <v>56.77</v>
      </c>
      <c r="J16" s="15">
        <f>_xlfn.STDEV.S(H15:H17)</f>
        <v>3.9119815950487302</v>
      </c>
      <c r="K16" s="11">
        <v>1137.5999999999999</v>
      </c>
      <c r="L16" s="15">
        <f>AVERAGE(K15:K17)</f>
        <v>1292.7666666666667</v>
      </c>
      <c r="M16" s="15">
        <f>_xlfn.STDEV.S(K15:K17)</f>
        <v>135.33219289338865</v>
      </c>
      <c r="N16" s="11">
        <v>30.11</v>
      </c>
      <c r="O16" s="15">
        <f>AVERAGE(N15:N17)</f>
        <v>31.133333333333336</v>
      </c>
      <c r="P16" s="15">
        <f>_xlfn.STDEV.S(N15:N17)</f>
        <v>1.4958052457901514</v>
      </c>
      <c r="Q16" s="11">
        <v>1.54</v>
      </c>
      <c r="R16" s="15">
        <f>AVERAGE(Q15:Q17)</f>
        <v>4.2</v>
      </c>
      <c r="S16" s="15">
        <f>_xlfn.STDEV.S(Q15:Q17)</f>
        <v>4.633260191269212</v>
      </c>
      <c r="T16" s="11">
        <v>49.46</v>
      </c>
      <c r="U16" s="15">
        <f>AVERAGE(T15:T17)</f>
        <v>61.180000000000007</v>
      </c>
      <c r="V16" s="15">
        <f>_xlfn.STDEV.S(T15:T17)</f>
        <v>10.984479960380389</v>
      </c>
    </row>
    <row r="17" spans="1:22" ht="16" x14ac:dyDescent="0.2">
      <c r="A17" s="10" t="s">
        <v>45</v>
      </c>
      <c r="B17" s="15">
        <v>0.04</v>
      </c>
      <c r="C17" s="15"/>
      <c r="D17" s="15"/>
      <c r="E17" s="11">
        <v>65.58</v>
      </c>
      <c r="F17" s="11"/>
      <c r="G17" s="11"/>
      <c r="H17" s="11">
        <v>53.23</v>
      </c>
      <c r="I17" s="11"/>
      <c r="J17" s="11"/>
      <c r="K17" s="11">
        <v>1386.39</v>
      </c>
      <c r="L17" s="11"/>
      <c r="M17" s="11"/>
      <c r="N17" s="11">
        <v>30.44</v>
      </c>
      <c r="O17" s="11"/>
      <c r="P17" s="11"/>
      <c r="Q17" s="11">
        <v>1.51</v>
      </c>
      <c r="R17" s="11"/>
      <c r="S17" s="11"/>
      <c r="T17" s="11">
        <v>71.239999999999995</v>
      </c>
      <c r="U17" s="11"/>
      <c r="V17" s="11"/>
    </row>
    <row r="18" spans="1:22" ht="16" x14ac:dyDescent="0.2">
      <c r="A18" s="10" t="s">
        <v>28</v>
      </c>
      <c r="B18" s="15">
        <v>0.04</v>
      </c>
      <c r="C18" s="15"/>
      <c r="D18" s="15"/>
      <c r="E18" s="11">
        <v>70.38</v>
      </c>
      <c r="F18" s="11"/>
      <c r="G18" s="11"/>
      <c r="H18" s="11">
        <v>53.81</v>
      </c>
      <c r="I18" s="11"/>
      <c r="J18" s="11"/>
      <c r="K18" s="11">
        <v>1299.5</v>
      </c>
      <c r="L18" s="11"/>
      <c r="M18" s="11"/>
      <c r="N18" s="11">
        <v>26.96</v>
      </c>
      <c r="O18" s="11"/>
      <c r="P18" s="11"/>
      <c r="Q18" s="11">
        <v>1.28</v>
      </c>
      <c r="R18" s="11"/>
      <c r="S18" s="11"/>
      <c r="T18" s="11">
        <v>52.76</v>
      </c>
      <c r="U18" s="11"/>
      <c r="V18" s="11"/>
    </row>
    <row r="19" spans="1:22" ht="16" x14ac:dyDescent="0.2">
      <c r="A19" s="10" t="s">
        <v>37</v>
      </c>
      <c r="B19" s="15">
        <v>0.04</v>
      </c>
      <c r="C19" s="15">
        <f>AVERAGE(B18:B20)</f>
        <v>0.04</v>
      </c>
      <c r="D19" s="15">
        <f>_xlfn.STDEV.S(B18:B20)</f>
        <v>0</v>
      </c>
      <c r="E19" s="11">
        <v>86.18</v>
      </c>
      <c r="F19" s="15">
        <f>AVERAGE(E18:E20)</f>
        <v>79.48</v>
      </c>
      <c r="G19" s="15">
        <f>_xlfn.STDEV.S(E18:E20)</f>
        <v>8.1688432473637338</v>
      </c>
      <c r="H19" s="11">
        <v>57.6</v>
      </c>
      <c r="I19" s="15">
        <f>AVERAGE(H18:H20)</f>
        <v>58.033333333333331</v>
      </c>
      <c r="J19" s="15">
        <f>_xlfn.STDEV.S(H18:H20)</f>
        <v>4.4558313851999953</v>
      </c>
      <c r="K19" s="11">
        <v>1342</v>
      </c>
      <c r="L19" s="15">
        <f>AVERAGE(K18:K20)</f>
        <v>1357.0133333333333</v>
      </c>
      <c r="M19" s="15">
        <f>_xlfn.STDEV.S(K18:K20)</f>
        <v>66.30724344544366</v>
      </c>
      <c r="N19" s="11">
        <v>30.15</v>
      </c>
      <c r="O19" s="15">
        <f>AVERAGE(N18:N20)</f>
        <v>29.77</v>
      </c>
      <c r="P19" s="15">
        <f>_xlfn.STDEV.S(N18:N20)</f>
        <v>2.640587055940403</v>
      </c>
      <c r="Q19" s="11">
        <v>1.49</v>
      </c>
      <c r="R19" s="15">
        <f>AVERAGE(Q18:Q20)</f>
        <v>1.5166666666666666</v>
      </c>
      <c r="S19" s="15">
        <f>_xlfn.STDEV.S(Q18:Q20)</f>
        <v>0.25106440076867559</v>
      </c>
      <c r="T19" s="11">
        <v>53.56</v>
      </c>
      <c r="U19" s="15">
        <f>AVERAGE(T18:T20)</f>
        <v>59.803333333333335</v>
      </c>
      <c r="V19" s="15">
        <f>_xlfn.STDEV.S(T18:T20)</f>
        <v>11.51354130288912</v>
      </c>
    </row>
    <row r="20" spans="1:22" ht="16" x14ac:dyDescent="0.2">
      <c r="A20" s="10" t="s">
        <v>46</v>
      </c>
      <c r="B20" s="15">
        <v>0.04</v>
      </c>
      <c r="C20" s="15"/>
      <c r="D20" s="15"/>
      <c r="E20" s="11">
        <v>81.88</v>
      </c>
      <c r="F20" s="11"/>
      <c r="G20" s="11"/>
      <c r="H20" s="11">
        <v>62.69</v>
      </c>
      <c r="I20" s="11"/>
      <c r="J20" s="11"/>
      <c r="K20" s="11">
        <v>1429.54</v>
      </c>
      <c r="L20" s="11"/>
      <c r="M20" s="11"/>
      <c r="N20" s="11">
        <v>32.200000000000003</v>
      </c>
      <c r="O20" s="11"/>
      <c r="P20" s="11"/>
      <c r="Q20" s="11">
        <v>1.78</v>
      </c>
      <c r="R20" s="11"/>
      <c r="S20" s="11"/>
      <c r="T20" s="11">
        <v>73.09</v>
      </c>
      <c r="U20" s="11"/>
      <c r="V20" s="11"/>
    </row>
    <row r="21" spans="1:22" ht="16" x14ac:dyDescent="0.2">
      <c r="A21" s="10" t="s">
        <v>29</v>
      </c>
      <c r="B21" s="15">
        <v>0.04</v>
      </c>
      <c r="C21" s="15"/>
      <c r="D21" s="15"/>
      <c r="E21" s="11">
        <v>37.78</v>
      </c>
      <c r="F21" s="11"/>
      <c r="G21" s="11"/>
      <c r="H21" s="11">
        <v>44.41</v>
      </c>
      <c r="I21" s="11"/>
      <c r="J21" s="11"/>
      <c r="K21" s="11">
        <v>1302.3900000000001</v>
      </c>
      <c r="L21" s="11"/>
      <c r="M21" s="11"/>
      <c r="N21" s="11">
        <v>79.900000000000006</v>
      </c>
      <c r="O21" s="11"/>
      <c r="P21" s="11"/>
      <c r="Q21" s="11">
        <v>0.85</v>
      </c>
      <c r="R21" s="11"/>
      <c r="S21" s="11"/>
      <c r="T21" s="11">
        <v>104.01</v>
      </c>
      <c r="U21" s="11"/>
      <c r="V21" s="11"/>
    </row>
    <row r="22" spans="1:22" ht="16" x14ac:dyDescent="0.2">
      <c r="A22" s="10" t="s">
        <v>38</v>
      </c>
      <c r="B22" s="15">
        <v>0.04</v>
      </c>
      <c r="C22" s="15">
        <f>AVERAGE(B21:B23)</f>
        <v>0.04</v>
      </c>
      <c r="D22" s="15">
        <f>_xlfn.STDEV.S(B21:B23)</f>
        <v>0</v>
      </c>
      <c r="E22" s="11">
        <v>40.71</v>
      </c>
      <c r="F22" s="15">
        <f>AVERAGE(E21:E23)</f>
        <v>44.256666666666668</v>
      </c>
      <c r="G22" s="15">
        <f>_xlfn.STDEV.S(E21:E23)</f>
        <v>8.8032172149352732</v>
      </c>
      <c r="H22" s="11">
        <v>59.64</v>
      </c>
      <c r="I22" s="15">
        <f>AVERAGE(H21:H23)</f>
        <v>68.5</v>
      </c>
      <c r="J22" s="15">
        <f>_xlfn.STDEV.S(H21:H23)</f>
        <v>29.53413448875725</v>
      </c>
      <c r="K22" s="11">
        <v>1106.3599999999999</v>
      </c>
      <c r="L22" s="15">
        <f>AVERAGE(K21:K23)</f>
        <v>1207.9666666666667</v>
      </c>
      <c r="M22" s="15">
        <f>_xlfn.STDEV.S(K21:K23)</f>
        <v>98.212221405145669</v>
      </c>
      <c r="N22" s="11">
        <v>70.569999999999993</v>
      </c>
      <c r="O22" s="15">
        <f>AVERAGE(N21:N23)</f>
        <v>82.266666666666666</v>
      </c>
      <c r="P22" s="15">
        <f>_xlfn.STDEV.S(N21:N23)</f>
        <v>13.042056330706959</v>
      </c>
      <c r="Q22" s="11">
        <v>1.22</v>
      </c>
      <c r="R22" s="15">
        <f>AVERAGE(Q21:Q23)</f>
        <v>1.3533333333333333</v>
      </c>
      <c r="S22" s="15">
        <f>_xlfn.STDEV.S(Q21:Q23)</f>
        <v>0.58157831229623203</v>
      </c>
      <c r="T22" s="11">
        <v>60.39</v>
      </c>
      <c r="U22" s="15">
        <f>AVERAGE(T21:T23)</f>
        <v>74.733333333333334</v>
      </c>
      <c r="V22" s="15">
        <f>_xlfn.STDEV.S(T21:T23)</f>
        <v>25.356053189195997</v>
      </c>
    </row>
    <row r="23" spans="1:22" ht="16" x14ac:dyDescent="0.2">
      <c r="A23" s="10" t="s">
        <v>47</v>
      </c>
      <c r="B23" s="15">
        <v>0.04</v>
      </c>
      <c r="C23" s="15"/>
      <c r="D23" s="15"/>
      <c r="E23" s="11">
        <v>54.28</v>
      </c>
      <c r="F23" s="11"/>
      <c r="G23" s="11"/>
      <c r="H23" s="11">
        <v>101.45</v>
      </c>
      <c r="I23" s="11"/>
      <c r="J23" s="11"/>
      <c r="K23" s="11">
        <v>1215.1500000000001</v>
      </c>
      <c r="L23" s="11"/>
      <c r="M23" s="11"/>
      <c r="N23" s="11">
        <v>96.33</v>
      </c>
      <c r="O23" s="11"/>
      <c r="P23" s="11"/>
      <c r="Q23" s="11">
        <v>1.99</v>
      </c>
      <c r="R23" s="11"/>
      <c r="S23" s="11"/>
      <c r="T23" s="11">
        <v>59.8</v>
      </c>
      <c r="U23" s="11"/>
      <c r="V23" s="11"/>
    </row>
    <row r="24" spans="1:22" ht="16" x14ac:dyDescent="0.2">
      <c r="A24" s="10" t="s">
        <v>30</v>
      </c>
      <c r="B24" s="15">
        <v>0.04</v>
      </c>
      <c r="C24" s="15"/>
      <c r="D24" s="15"/>
      <c r="E24" s="11">
        <v>48.09</v>
      </c>
      <c r="F24" s="11"/>
      <c r="G24" s="11"/>
      <c r="H24" s="11">
        <v>51.39</v>
      </c>
      <c r="I24" s="11"/>
      <c r="J24" s="11"/>
      <c r="K24" s="11">
        <v>1206.6199999999999</v>
      </c>
      <c r="L24" s="11"/>
      <c r="M24" s="11"/>
      <c r="N24" s="11">
        <v>69.97</v>
      </c>
      <c r="O24" s="11"/>
      <c r="P24" s="11"/>
      <c r="Q24" s="11">
        <v>1.51</v>
      </c>
      <c r="R24" s="11"/>
      <c r="S24" s="11"/>
      <c r="T24" s="11">
        <v>84.19</v>
      </c>
      <c r="U24" s="11"/>
      <c r="V24" s="11"/>
    </row>
    <row r="25" spans="1:22" ht="16" x14ac:dyDescent="0.2">
      <c r="A25" s="10" t="s">
        <v>39</v>
      </c>
      <c r="B25" s="15">
        <v>0.04</v>
      </c>
      <c r="C25" s="15">
        <f>AVERAGE(B24:B26)</f>
        <v>0.04</v>
      </c>
      <c r="D25" s="15">
        <f>_xlfn.STDEV.S(B24:B26)</f>
        <v>0</v>
      </c>
      <c r="E25" s="11">
        <v>61.85</v>
      </c>
      <c r="F25" s="15">
        <f>AVERAGE(E24:E26)</f>
        <v>56.843333333333334</v>
      </c>
      <c r="G25" s="15">
        <f>_xlfn.STDEV.S(E24:E26)</f>
        <v>7.606742623050545</v>
      </c>
      <c r="H25" s="11">
        <v>64.150000000000006</v>
      </c>
      <c r="I25" s="15">
        <f>AVERAGE(H24:H26)</f>
        <v>66.600000000000009</v>
      </c>
      <c r="J25" s="15">
        <f>_xlfn.STDEV.S(H24:H26)</f>
        <v>16.571394027057565</v>
      </c>
      <c r="K25" s="11">
        <v>1289.4000000000001</v>
      </c>
      <c r="L25" s="15">
        <f>AVERAGE(K24:K26)</f>
        <v>1210.1633333333332</v>
      </c>
      <c r="M25" s="15">
        <f>_xlfn.STDEV.S(K24:K26)</f>
        <v>77.525754645365041</v>
      </c>
      <c r="N25" s="11">
        <v>92.51</v>
      </c>
      <c r="O25" s="15">
        <f>AVERAGE(N24:N26)</f>
        <v>78.293333333333337</v>
      </c>
      <c r="P25" s="15">
        <f>_xlfn.STDEV.S(N24:N26)</f>
        <v>12.371799922943</v>
      </c>
      <c r="Q25" s="11">
        <v>1.78</v>
      </c>
      <c r="R25" s="15">
        <f>AVERAGE(Q24:Q26)</f>
        <v>1.61</v>
      </c>
      <c r="S25" s="15">
        <f>_xlfn.STDEV.S(Q24:Q26)</f>
        <v>0.14798648586948743</v>
      </c>
      <c r="T25" s="11">
        <v>70.52</v>
      </c>
      <c r="U25" s="15">
        <f>AVERAGE(T24:T26)</f>
        <v>68.58</v>
      </c>
      <c r="V25" s="15">
        <f>_xlfn.STDEV.S(T24:T26)</f>
        <v>16.664906240360345</v>
      </c>
    </row>
    <row r="26" spans="1:22" ht="16" x14ac:dyDescent="0.2">
      <c r="A26" s="10" t="s">
        <v>48</v>
      </c>
      <c r="B26" s="15">
        <v>0.04</v>
      </c>
      <c r="C26" s="15"/>
      <c r="D26" s="15"/>
      <c r="E26" s="11">
        <v>60.59</v>
      </c>
      <c r="F26" s="11"/>
      <c r="G26" s="11"/>
      <c r="H26" s="11">
        <v>84.26</v>
      </c>
      <c r="I26" s="11"/>
      <c r="J26" s="11"/>
      <c r="K26" s="11">
        <v>1134.47</v>
      </c>
      <c r="L26" s="11"/>
      <c r="M26" s="11"/>
      <c r="N26" s="11">
        <v>72.400000000000006</v>
      </c>
      <c r="O26" s="11"/>
      <c r="P26" s="11"/>
      <c r="Q26" s="11">
        <v>1.54</v>
      </c>
      <c r="R26" s="11"/>
      <c r="S26" s="11"/>
      <c r="T26" s="11">
        <v>51.03</v>
      </c>
      <c r="U26" s="11"/>
      <c r="V26" s="11"/>
    </row>
    <row r="27" spans="1:22" ht="16" x14ac:dyDescent="0.2">
      <c r="A27" s="10" t="s">
        <v>31</v>
      </c>
      <c r="B27" s="15">
        <v>0.04</v>
      </c>
      <c r="C27" s="15"/>
      <c r="D27" s="15"/>
      <c r="E27" s="11">
        <v>77.72</v>
      </c>
      <c r="F27" s="11"/>
      <c r="G27" s="11"/>
      <c r="H27" s="11">
        <v>41.25</v>
      </c>
      <c r="I27" s="11"/>
      <c r="J27" s="11"/>
      <c r="K27" s="11">
        <v>1346.09</v>
      </c>
      <c r="L27" s="11"/>
      <c r="M27" s="11"/>
      <c r="N27" s="11">
        <v>100.89</v>
      </c>
      <c r="O27" s="11"/>
      <c r="P27" s="11"/>
      <c r="Q27" s="11">
        <v>1.23</v>
      </c>
      <c r="R27" s="11"/>
      <c r="S27" s="11"/>
      <c r="T27" s="11">
        <v>91.17</v>
      </c>
      <c r="U27" s="11"/>
      <c r="V27" s="11"/>
    </row>
    <row r="28" spans="1:22" ht="16" x14ac:dyDescent="0.2">
      <c r="A28" s="10" t="s">
        <v>40</v>
      </c>
      <c r="B28" s="15">
        <v>0.04</v>
      </c>
      <c r="C28" s="15">
        <f>AVERAGE(B27:B29)</f>
        <v>0.04</v>
      </c>
      <c r="D28" s="15">
        <f>_xlfn.STDEV.S(B27:B29)</f>
        <v>0</v>
      </c>
      <c r="E28" s="11">
        <v>78.11</v>
      </c>
      <c r="F28" s="15">
        <f>AVERAGE(E27:E29)</f>
        <v>82.463333333333324</v>
      </c>
      <c r="G28" s="15">
        <f>_xlfn.STDEV.S(E27:E29)</f>
        <v>7.8803574369017912</v>
      </c>
      <c r="H28" s="11">
        <v>48.36</v>
      </c>
      <c r="I28" s="15">
        <f>AVERAGE(H27:H29)</f>
        <v>50.276666666666664</v>
      </c>
      <c r="J28" s="15">
        <f>_xlfn.STDEV.S(H27:H29)</f>
        <v>10.122027135575857</v>
      </c>
      <c r="K28" s="11">
        <v>1255.3800000000001</v>
      </c>
      <c r="L28" s="15">
        <f>AVERAGE(K27:K29)</f>
        <v>1340.3666666666668</v>
      </c>
      <c r="M28" s="15">
        <f>_xlfn.STDEV.S(K27:K29)</f>
        <v>82.274437301833501</v>
      </c>
      <c r="N28" s="11">
        <v>111.46</v>
      </c>
      <c r="O28" s="15">
        <f>AVERAGE(N27:N29)</f>
        <v>116.98666666666668</v>
      </c>
      <c r="P28" s="15">
        <f>_xlfn.STDEV.S(N27:N29)</f>
        <v>19.457842463472907</v>
      </c>
      <c r="Q28" s="11">
        <v>6.59</v>
      </c>
      <c r="R28" s="15">
        <f>AVERAGE(Q27:Q29)</f>
        <v>3.1766666666666672</v>
      </c>
      <c r="S28" s="15">
        <f>_xlfn.STDEV.S(Q27:Q29)</f>
        <v>2.965760161127891</v>
      </c>
      <c r="T28" s="11">
        <v>124.94</v>
      </c>
      <c r="U28" s="15">
        <f>AVERAGE(T27:T29)</f>
        <v>110.36666666666667</v>
      </c>
      <c r="V28" s="15">
        <f>_xlfn.STDEV.S(T27:T29)</f>
        <v>17.35323120728032</v>
      </c>
    </row>
    <row r="29" spans="1:22" ht="16" x14ac:dyDescent="0.2">
      <c r="A29" s="10" t="s">
        <v>49</v>
      </c>
      <c r="B29" s="15">
        <v>0.04</v>
      </c>
      <c r="C29" s="15"/>
      <c r="D29" s="15"/>
      <c r="E29" s="11">
        <v>91.56</v>
      </c>
      <c r="F29" s="11"/>
      <c r="G29" s="11"/>
      <c r="H29" s="11">
        <v>61.22</v>
      </c>
      <c r="I29" s="11"/>
      <c r="J29" s="11"/>
      <c r="K29" s="11">
        <v>1419.63</v>
      </c>
      <c r="L29" s="11"/>
      <c r="M29" s="11"/>
      <c r="N29" s="11">
        <v>138.61000000000001</v>
      </c>
      <c r="O29" s="11"/>
      <c r="P29" s="11"/>
      <c r="Q29" s="11">
        <v>1.71</v>
      </c>
      <c r="R29" s="11"/>
      <c r="S29" s="11"/>
      <c r="T29" s="11">
        <v>114.99</v>
      </c>
      <c r="U29" s="11"/>
      <c r="V29" s="11"/>
    </row>
    <row r="33" spans="1:6" ht="16" thickBot="1" x14ac:dyDescent="0.25"/>
    <row r="34" spans="1:6" ht="17" thickBot="1" x14ac:dyDescent="0.25">
      <c r="A34" s="20" t="s">
        <v>73</v>
      </c>
      <c r="B34" s="21"/>
      <c r="C34" s="21"/>
      <c r="D34" s="21"/>
      <c r="E34" s="21"/>
      <c r="F34" s="22"/>
    </row>
    <row r="35" spans="1:6" ht="35" thickBot="1" x14ac:dyDescent="0.25">
      <c r="A35" s="23" t="s">
        <v>52</v>
      </c>
      <c r="B35" s="24" t="s">
        <v>6</v>
      </c>
      <c r="C35" s="25" t="s">
        <v>7</v>
      </c>
      <c r="D35" s="25" t="s">
        <v>8</v>
      </c>
      <c r="E35" s="25" t="s">
        <v>9</v>
      </c>
      <c r="F35" s="26" t="s">
        <v>10</v>
      </c>
    </row>
    <row r="36" spans="1:6" ht="16" x14ac:dyDescent="0.2">
      <c r="A36" s="27">
        <v>1</v>
      </c>
      <c r="B36" s="19" t="s">
        <v>54</v>
      </c>
      <c r="C36" s="19" t="s">
        <v>55</v>
      </c>
      <c r="D36" s="19" t="s">
        <v>64</v>
      </c>
      <c r="E36" s="19">
        <v>1221.8800000000001</v>
      </c>
      <c r="F36" s="28">
        <v>37.880000000000003</v>
      </c>
    </row>
    <row r="37" spans="1:6" ht="16" x14ac:dyDescent="0.2">
      <c r="A37" s="27">
        <v>2</v>
      </c>
      <c r="B37" s="19" t="s">
        <v>54</v>
      </c>
      <c r="C37" s="19" t="s">
        <v>56</v>
      </c>
      <c r="D37" s="19" t="s">
        <v>65</v>
      </c>
      <c r="E37" s="19">
        <v>1182.7866666666666</v>
      </c>
      <c r="F37" s="28">
        <v>36.116666666666667</v>
      </c>
    </row>
    <row r="38" spans="1:6" ht="16" x14ac:dyDescent="0.2">
      <c r="A38" s="27">
        <v>3</v>
      </c>
      <c r="B38" s="19" t="s">
        <v>54</v>
      </c>
      <c r="C38" s="19" t="s">
        <v>57</v>
      </c>
      <c r="D38" s="19" t="s">
        <v>66</v>
      </c>
      <c r="E38" s="19">
        <v>1416.3533333333332</v>
      </c>
      <c r="F38" s="28">
        <v>29.173333333333336</v>
      </c>
    </row>
    <row r="39" spans="1:6" ht="16" x14ac:dyDescent="0.2">
      <c r="A39" s="27">
        <v>4</v>
      </c>
      <c r="B39" s="19" t="s">
        <v>53</v>
      </c>
      <c r="C39" s="19" t="s">
        <v>58</v>
      </c>
      <c r="D39" s="19" t="s">
        <v>67</v>
      </c>
      <c r="E39" s="19">
        <v>1299.6699999999998</v>
      </c>
      <c r="F39" s="28">
        <v>44.620000000000005</v>
      </c>
    </row>
    <row r="40" spans="1:6" ht="16" x14ac:dyDescent="0.2">
      <c r="A40" s="27">
        <v>5</v>
      </c>
      <c r="B40" s="19" t="s">
        <v>54</v>
      </c>
      <c r="C40" s="19" t="s">
        <v>59</v>
      </c>
      <c r="D40" s="19" t="s">
        <v>68</v>
      </c>
      <c r="E40" s="19">
        <v>1292.7666666666667</v>
      </c>
      <c r="F40" s="28">
        <v>31.133333333333336</v>
      </c>
    </row>
    <row r="41" spans="1:6" ht="16" x14ac:dyDescent="0.2">
      <c r="A41" s="27">
        <v>6</v>
      </c>
      <c r="B41" s="19" t="s">
        <v>54</v>
      </c>
      <c r="C41" s="19" t="s">
        <v>60</v>
      </c>
      <c r="D41" s="19" t="s">
        <v>69</v>
      </c>
      <c r="E41" s="19">
        <v>1357.0133333333333</v>
      </c>
      <c r="F41" s="28">
        <v>29.77</v>
      </c>
    </row>
    <row r="42" spans="1:6" ht="16" x14ac:dyDescent="0.2">
      <c r="A42" s="27">
        <v>7</v>
      </c>
      <c r="B42" s="19" t="s">
        <v>54</v>
      </c>
      <c r="C42" s="19" t="s">
        <v>61</v>
      </c>
      <c r="D42" s="19" t="s">
        <v>70</v>
      </c>
      <c r="E42" s="19">
        <v>1207.9666666666667</v>
      </c>
      <c r="F42" s="28">
        <v>82.266666666666666</v>
      </c>
    </row>
    <row r="43" spans="1:6" ht="16" x14ac:dyDescent="0.2">
      <c r="A43" s="27">
        <v>8</v>
      </c>
      <c r="B43" s="19" t="s">
        <v>54</v>
      </c>
      <c r="C43" s="19" t="s">
        <v>62</v>
      </c>
      <c r="D43" s="19" t="s">
        <v>71</v>
      </c>
      <c r="E43" s="19">
        <v>1210.1633333333332</v>
      </c>
      <c r="F43" s="28">
        <v>78.293333333333337</v>
      </c>
    </row>
    <row r="44" spans="1:6" ht="17" thickBot="1" x14ac:dyDescent="0.25">
      <c r="A44" s="29">
        <v>9</v>
      </c>
      <c r="B44" s="30" t="s">
        <v>54</v>
      </c>
      <c r="C44" s="30" t="s">
        <v>63</v>
      </c>
      <c r="D44" s="30" t="s">
        <v>72</v>
      </c>
      <c r="E44" s="30">
        <v>1340.3666666666668</v>
      </c>
      <c r="F44" s="31">
        <v>116.98666666666668</v>
      </c>
    </row>
  </sheetData>
  <mergeCells count="2">
    <mergeCell ref="E1:T1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Supplement table</vt:lpstr>
    </vt:vector>
  </TitlesOfParts>
  <Manager/>
  <Company>Oracle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P6mNCBsg</dc:title>
  <dc:subject/>
  <dc:creator>Oracle Reports</dc:creator>
  <cp:keywords/>
  <dc:description/>
  <cp:lastModifiedBy>Singh, Tajinder</cp:lastModifiedBy>
  <cp:revision/>
  <dcterms:created xsi:type="dcterms:W3CDTF">2020-05-14T15:24:36Z</dcterms:created>
  <dcterms:modified xsi:type="dcterms:W3CDTF">2025-09-28T20:34:00Z</dcterms:modified>
  <cp:category/>
  <cp:contentStatus/>
</cp:coreProperties>
</file>